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3"/>
  </bookViews>
  <sheets>
    <sheet name="Отчет о результатах" sheetId="2" r:id="rId1"/>
    <sheet name="Отчет об устойчивости" sheetId="3" r:id="rId2"/>
    <sheet name="Отчет о пределах" sheetId="4" r:id="rId3"/>
    <sheet name="Лист1" sheetId="1" r:id="rId4"/>
  </sheets>
  <definedNames>
    <definedName name="solver_opt" localSheetId="3" hidden="1">Лист1!$B$5</definedName>
    <definedName name="solver_typ" localSheetId="3" hidden="1">1</definedName>
    <definedName name="solver_val" localSheetId="3" hidden="1">0</definedName>
    <definedName name="solver_adj" localSheetId="3" hidden="1">Лист1!$B$2:$B$3</definedName>
    <definedName name="solver_neg" localSheetId="3" hidden="1">1</definedName>
    <definedName name="solver_num" localSheetId="3" hidden="1">2</definedName>
    <definedName name="solver_lin" localSheetId="3" hidden="1">1</definedName>
    <definedName name="solver_eng" localSheetId="3" hidden="1">2</definedName>
    <definedName name="solver_ver" localSheetId="3" hidden="1">3</definedName>
    <definedName name="solver_lhs1" localSheetId="3" hidden="1">Лист1!$E$8</definedName>
    <definedName name="solver_rel1" localSheetId="3" hidden="1">1</definedName>
    <definedName name="solver_rhs1" localSheetId="3" hidden="1">Лист1!$D$8</definedName>
    <definedName name="solver_lhs2" localSheetId="3" hidden="1">Лист1!$E$9</definedName>
    <definedName name="solver_rel2" localSheetId="3" hidden="1">1</definedName>
    <definedName name="solver_rhs2" localSheetId="3" hidden="1">Лист1!$D$9</definedName>
    <definedName name="solver_pre" localSheetId="3" hidden="1">0.000001</definedName>
    <definedName name="solver_itr" localSheetId="3" hidden="1">0</definedName>
    <definedName name="solver_tim" localSheetId="3" hidden="1">0</definedName>
    <definedName name="solver_tol" localSheetId="3" hidden="1">0.01</definedName>
    <definedName name="solver_sho" localSheetId="3" hidden="1">0</definedName>
    <definedName name="solver_rlx" localSheetId="3" hidden="1">0</definedName>
    <definedName name="solver_nod" localSheetId="3" hidden="1">0</definedName>
    <definedName name="solver_mip" localSheetId="3" hidden="1">0</definedName>
    <definedName name="solver_scl" localSheetId="3" hidden="1">1</definedName>
    <definedName name="solver_cvg" localSheetId="3" hidden="1">0.0001</definedName>
    <definedName name="solver_drv" localSheetId="3" hidden="1">1</definedName>
    <definedName name="solver_msl" localSheetId="3" hidden="1">0</definedName>
    <definedName name="solver_ssz" localSheetId="3" hidden="1">100</definedName>
    <definedName name="solver_rsd" localSheetId="3" hidden="1">0</definedName>
    <definedName name="solver_rbv" localSheetId="3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<sst xmlns="http://schemas.openxmlformats.org/spreadsheetml/2006/main" count="118" uniqueCount="67">
  <si>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WPS Office Отчет о результатах</t>
  </si>
  <si>
    <t>Книга: [Книга2]Лист1</t>
  </si>
  <si>
    <t>Отчет создан: 10/28/2026 5:54:5 PM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</si>
  <si>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</si>
  <si>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</si>
  <si>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</si>
  <si>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0,01 Секунды.</t>
  </si>
  <si>
    <t>Итерации: 3 Подзадача: 0</t>
  </si>
  <si>
    <t>Параметры поиска решения</t>
  </si>
  <si>
    <t>Максимальное время Без ограничений, Итерации Без ограничений, Использовать автоматическое масштабирование</t>
  </si>
  <si>
    <t>Максимальное число подзадач Без ограничений, Максимальное число целочисленных решений Без ограничений, Целочисленное отклонение1%, Решение без целочисленных ограничений,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</si>
  <si>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</si>
  <si>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</si>
  <si>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</si>
  <si>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</si>
  <si>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</si>
  <si>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$B$5</t>
  </si>
  <si>
    <t>прибыль</t>
  </si>
  <si>
    <t>Ячейки переменной</t>
  </si>
  <si>
    <t>Целое</t>
  </si>
  <si>
    <t>$B$2</t>
  </si>
  <si>
    <t>Корпуса  (x₁)</t>
  </si>
  <si>
    <t>Продолжить</t>
  </si>
  <si>
    <t>$B$3</t>
  </si>
  <si>
    <t>Кронштейны 2 (x₂)</t>
  </si>
  <si>
    <t>Ограничения</t>
  </si>
  <si>
    <t>Значение ячейки</t>
  </si>
  <si>
    <t>Формула</t>
  </si>
  <si>
    <t>Состояние</t>
  </si>
  <si>
    <t>Допуск</t>
  </si>
  <si>
    <t>$E$8</t>
  </si>
  <si>
    <t>фрезерные расход</t>
  </si>
  <si>
    <t>$E$8&lt;=$D$8</t>
  </si>
  <si>
    <t>Привязка</t>
  </si>
  <si>
    <t>$E$9</t>
  </si>
  <si>
    <t>токарные расход</t>
  </si>
  <si>
    <t>$E$9&lt;=$D$9</t>
  </si>
  <si>
    <t>WPS Office Отчет об устойчивости</t>
  </si>
  <si>
    <t>Окончательное</t>
  </si>
  <si>
    <t>Пониженная</t>
  </si>
  <si>
    <t>Целевая функция</t>
  </si>
  <si>
    <t>Допустимое</t>
  </si>
  <si>
    <t>Значение</t>
  </si>
  <si>
    <t>Стоимость</t>
  </si>
  <si>
    <t>Коэффициент</t>
  </si>
  <si>
    <t>Увеличение</t>
  </si>
  <si>
    <t>Уменьшение</t>
  </si>
  <si>
    <t>Тень</t>
  </si>
  <si>
    <t>Ограничение</t>
  </si>
  <si>
    <t>Цена</t>
  </si>
  <si>
    <t>правая сторона уравнения</t>
  </si>
  <si>
    <t>WPS Office Отчет о пределах</t>
  </si>
  <si>
    <t>Отчет создан: 10/28/2026 5:54:6 PM</t>
  </si>
  <si>
    <t>Переменные</t>
  </si>
  <si>
    <t>Ниже</t>
  </si>
  <si>
    <t>Выше</t>
  </si>
  <si>
    <t>Предел</t>
  </si>
  <si>
    <t>Результат</t>
  </si>
  <si>
    <t>Кронштейны (x₂)</t>
  </si>
  <si>
    <t>ресурс</t>
  </si>
  <si>
    <t>норма x₁</t>
  </si>
  <si>
    <t>норма x₂</t>
  </si>
  <si>
    <t>запас</t>
  </si>
  <si>
    <t>расход</t>
  </si>
  <si>
    <t>остаток</t>
  </si>
  <si>
    <t>фрезерные</t>
  </si>
  <si>
    <t>токарные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</si>
</sst>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rgb="FF0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rgb="FFA4A0A0"/>
      </top>
      <bottom/>
      <diagonal/>
    </border>
    <border>
      <left/>
      <right/>
      <top/>
      <bottom style="thick">
        <color rgb="FFA4A0A0"/>
      </bottom>
      <diagonal/>
    </border>
    <border>
      <left/>
      <right/>
      <top/>
      <bottom style="thin">
        <color rgb="FFA4A0A0"/>
      </bottom>
      <diagonal/>
    </border>
    <border>
      <left/>
      <right/>
      <top style="thick">
        <color rgb="FFA4A0A0"/>
      </top>
      <bottom style="thick">
        <color rgb="FFA4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7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3" fillId="0" borderId="13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showGridLines="0" workbookViewId="0">
      <selection activeCell="D35" sqref="D35"/>
    </sheetView>
  </sheetViews>
  <sheetFormatPr defaultColWidth="9.14285714285714" defaultRowHeight="15" outlineLevelCol="6"/>
  <cols>
    <col min="1" max="1" width="2.21904761904762" customWidth="1"/>
    <col min="2" max="2" width="8.14285714285714" customWidth="1"/>
    <col min="3" max="3" width="19.8571428571429" customWidth="1"/>
    <col min="4" max="4" width="20.8571428571429" customWidth="1"/>
    <col min="5" max="5" width="26.7142857142857" customWidth="1"/>
    <col min="6" max="6" width="13.4285714285714" customWidth="1"/>
    <col min="7" max="7" width="8.14285714285714" customWidth="1"/>
  </cols>
  <sheetData>
    <row r="1" spans="1:5">
      <c r="A1" s="12" t="s">
        <v>0</v>
      </c>
    </row>
    <row r="2" spans="1:5">
      <c r="A2" s="12" t="s">
        <v>1</v>
      </c>
    </row>
    <row r="3" spans="1:5">
      <c r="A3" s="12" t="s">
        <v>2</v>
      </c>
    </row>
    <row r="4" spans="1:5">
      <c r="A4" s="12" t="s">
        <v>3</v>
      </c>
    </row>
    <row r="5" spans="1:5">
      <c r="A5" s="12" t="s">
        <v>4</v>
      </c>
    </row>
    <row r="6" spans="1:5">
      <c r="A6" s="12"/>
      <c r="B6" t="s">
        <v>5</v>
      </c>
    </row>
    <row r="7" spans="1:5">
      <c r="A7" s="12"/>
      <c r="B7" t="s">
        <v>6</v>
      </c>
    </row>
    <row r="8" spans="1:5">
      <c r="A8" s="12"/>
      <c r="B8" t="s">
        <v>7</v>
      </c>
    </row>
    <row r="9" spans="1:5">
      <c r="A9" s="12" t="s">
        <v>8</v>
      </c>
    </row>
    <row r="10" spans="1:5">
      <c r="B10" t="s">
        <v>9</v>
      </c>
    </row>
    <row r="11" spans="1:5">
      <c r="B11" t="s">
        <v>10</v>
      </c>
    </row>
    <row r="14" spans="1:5">
      <c r="A14" t="s">
        <v>11</v>
      </c>
    </row>
    <row r="15" ht="16.5" spans="1:5">
      <c r="B15" s="17" t="s">
        <v>12</v>
      </c>
      <c r="C15" s="17" t="s">
        <v>13</v>
      </c>
      <c r="D15" s="17" t="s">
        <v>14</v>
      </c>
      <c r="E15" s="17" t="s">
        <v>15</v>
      </c>
    </row>
    <row r="16" ht="16.5" spans="1:5">
      <c r="B16" s="15" t="s">
        <v>16</v>
      </c>
      <c r="C16" s="15" t="s">
        <v>17</v>
      </c>
      <c r="D16" s="15">
        <v>46.4</v>
      </c>
      <c r="E16" s="15">
        <v>46.4</v>
      </c>
    </row>
    <row r="19" spans="1:7">
      <c r="A19" t="s">
        <v>18</v>
      </c>
    </row>
    <row r="20" ht="16.5" spans="1:7">
      <c r="B20" s="17" t="s">
        <v>12</v>
      </c>
      <c r="C20" s="17" t="s">
        <v>13</v>
      </c>
      <c r="D20" s="17" t="s">
        <v>14</v>
      </c>
      <c r="E20" s="17" t="s">
        <v>15</v>
      </c>
      <c r="F20" s="17" t="s">
        <v>19</v>
      </c>
    </row>
    <row r="21" ht="15.75" spans="1:7">
      <c r="B21" s="16" t="s">
        <v>20</v>
      </c>
      <c r="C21" s="16" t="s">
        <v>21</v>
      </c>
      <c r="D21" s="16">
        <v>4.4</v>
      </c>
      <c r="E21" s="16">
        <v>4.4</v>
      </c>
      <c r="F21" s="16" t="s">
        <v>22</v>
      </c>
    </row>
    <row r="22" ht="15.75" spans="1:7">
      <c r="B22" s="15" t="s">
        <v>23</v>
      </c>
      <c r="C22" s="15" t="s">
        <v>24</v>
      </c>
      <c r="D22" s="15">
        <v>4.8</v>
      </c>
      <c r="E22" s="15">
        <v>4.8</v>
      </c>
      <c r="F22" s="15" t="s">
        <v>22</v>
      </c>
    </row>
    <row r="25" spans="1:7">
      <c r="A25" t="s">
        <v>25</v>
      </c>
    </row>
    <row r="26" ht="16.5" spans="1:7">
      <c r="B26" s="17" t="s">
        <v>12</v>
      </c>
      <c r="C26" s="17" t="s">
        <v>13</v>
      </c>
      <c r="D26" s="17" t="s">
        <v>26</v>
      </c>
      <c r="E26" s="17" t="s">
        <v>27</v>
      </c>
      <c r="F26" s="17" t="s">
        <v>28</v>
      </c>
      <c r="G26" s="17" t="s">
        <v>29</v>
      </c>
    </row>
    <row r="27" ht="15.75" spans="1:7">
      <c r="B27" s="16" t="s">
        <v>30</v>
      </c>
      <c r="C27" s="16" t="s">
        <v>31</v>
      </c>
      <c r="D27" s="16">
        <v>14</v>
      </c>
      <c r="E27" s="16" t="s">
        <v>32</v>
      </c>
      <c r="F27" s="16" t="s">
        <v>33</v>
      </c>
      <c r="G27" s="16">
        <v>0</v>
      </c>
    </row>
    <row r="28" ht="15.75" spans="1:7">
      <c r="B28" s="15" t="s">
        <v>34</v>
      </c>
      <c r="C28" s="15" t="s">
        <v>35</v>
      </c>
      <c r="D28" s="15">
        <v>18</v>
      </c>
      <c r="E28" s="15" t="s">
        <v>36</v>
      </c>
      <c r="F28" s="15" t="s">
        <v>33</v>
      </c>
      <c r="G28" s="1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zoomScale="160" zoomScaleNormal="160" workbookViewId="0">
      <selection activeCell="D31" sqref="D31"/>
    </sheetView>
  </sheetViews>
  <sheetFormatPr defaultColWidth="9.14285714285714" defaultRowHeight="15" outlineLevelCol="7"/>
  <cols>
    <col min="1" max="1" width="2.21904761904762" customWidth="1"/>
    <col min="2" max="2" width="8.14285714285714" customWidth="1"/>
    <col min="3" max="3" width="19.8571428571429" customWidth="1"/>
    <col min="4" max="4" width="16.5714285714286" customWidth="1"/>
    <col min="5" max="5" width="13.7142857142857" customWidth="1"/>
    <col min="6" max="6" width="27.7142857142857" customWidth="1"/>
    <col min="7" max="7" width="13.4285714285714" customWidth="1"/>
    <col min="8" max="8" width="14.1428571428571" customWidth="1"/>
  </cols>
  <sheetData>
    <row r="1" spans="1:8">
      <c r="A1" s="12" t="s">
        <v>37</v>
      </c>
    </row>
    <row r="2" spans="1:8">
      <c r="A2" s="12" t="s">
        <v>1</v>
      </c>
    </row>
    <row r="3" spans="1:8">
      <c r="A3" s="12" t="s">
        <v>2</v>
      </c>
    </row>
    <row r="6" spans="1:8">
      <c r="A6" t="s">
        <v>18</v>
      </c>
    </row>
    <row r="7" ht="15.75" spans="1:8">
      <c r="B7" s="13"/>
      <c r="C7" s="13"/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41</v>
      </c>
    </row>
    <row r="8" ht="15.75" spans="1:8">
      <c r="B8" s="14" t="s">
        <v>12</v>
      </c>
      <c r="C8" s="14" t="s">
        <v>13</v>
      </c>
      <c r="D8" s="14" t="s">
        <v>42</v>
      </c>
      <c r="E8" s="14" t="s">
        <v>43</v>
      </c>
      <c r="F8" s="14" t="s">
        <v>44</v>
      </c>
      <c r="G8" s="14" t="s">
        <v>45</v>
      </c>
      <c r="H8" s="14" t="s">
        <v>46</v>
      </c>
    </row>
    <row r="9" ht="15.75" spans="1:8">
      <c r="B9" s="16" t="s">
        <v>20</v>
      </c>
      <c r="C9" s="16" t="s">
        <v>21</v>
      </c>
      <c r="D9" s="16">
        <v>4.4</v>
      </c>
      <c r="E9" s="16">
        <v>0</v>
      </c>
      <c r="F9" s="16">
        <v>4</v>
      </c>
      <c r="G9" s="16">
        <v>14</v>
      </c>
      <c r="H9" s="16">
        <v>1</v>
      </c>
    </row>
    <row r="10" ht="15.75" spans="1:8">
      <c r="B10" s="15" t="s">
        <v>23</v>
      </c>
      <c r="C10" s="15" t="s">
        <v>24</v>
      </c>
      <c r="D10" s="15">
        <v>4.8</v>
      </c>
      <c r="E10" s="15">
        <v>0</v>
      </c>
      <c r="F10" s="15">
        <v>6</v>
      </c>
      <c r="G10" s="15">
        <v>2</v>
      </c>
      <c r="H10" s="15">
        <v>4.66666666666667</v>
      </c>
    </row>
    <row r="12" spans="1:8">
      <c r="A12" t="s">
        <v>25</v>
      </c>
    </row>
    <row r="13" ht="15.75" spans="1:8">
      <c r="B13" s="13"/>
      <c r="C13" s="13"/>
      <c r="D13" s="13" t="s">
        <v>38</v>
      </c>
      <c r="E13" s="13" t="s">
        <v>47</v>
      </c>
      <c r="F13" s="13" t="s">
        <v>48</v>
      </c>
      <c r="G13" s="13" t="s">
        <v>41</v>
      </c>
      <c r="H13" s="13" t="s">
        <v>41</v>
      </c>
    </row>
    <row r="14" ht="15.75" spans="1:8">
      <c r="B14" s="14" t="s">
        <v>12</v>
      </c>
      <c r="C14" s="14" t="s">
        <v>13</v>
      </c>
      <c r="D14" s="14" t="s">
        <v>42</v>
      </c>
      <c r="E14" s="14" t="s">
        <v>49</v>
      </c>
      <c r="F14" s="14" t="s">
        <v>50</v>
      </c>
      <c r="G14" s="14" t="s">
        <v>45</v>
      </c>
      <c r="H14" s="14" t="s">
        <v>46</v>
      </c>
    </row>
    <row r="15" ht="15.75" spans="1:8">
      <c r="B15" s="16" t="s">
        <v>30</v>
      </c>
      <c r="C15" s="16" t="s">
        <v>31</v>
      </c>
      <c r="D15" s="16">
        <v>14</v>
      </c>
      <c r="E15" s="16">
        <v>2.8</v>
      </c>
      <c r="F15" s="16">
        <v>14</v>
      </c>
      <c r="G15" s="16">
        <v>22</v>
      </c>
      <c r="H15" s="16">
        <v>8</v>
      </c>
    </row>
    <row r="16" ht="15.75" spans="1:8">
      <c r="B16" s="15" t="s">
        <v>34</v>
      </c>
      <c r="C16" s="15" t="s">
        <v>35</v>
      </c>
      <c r="D16" s="15">
        <v>18</v>
      </c>
      <c r="E16" s="15">
        <v>0.4</v>
      </c>
      <c r="F16" s="15">
        <v>18</v>
      </c>
      <c r="G16" s="15">
        <v>24</v>
      </c>
      <c r="H16" s="15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showGridLines="0" workbookViewId="0">
      <selection activeCell="A1" sqref="A1"/>
    </sheetView>
  </sheetViews>
  <sheetFormatPr defaultColWidth="9.14285714285714" defaultRowHeight="15"/>
  <cols>
    <col min="1" max="1" width="2.21904761904762" customWidth="1"/>
    <col min="2" max="2" width="8.14285714285714" customWidth="1"/>
    <col min="3" max="3" width="19.4285714285714" customWidth="1"/>
    <col min="4" max="4" width="10.2857142857143" customWidth="1"/>
    <col min="5" max="5" width="2.21904761904762" customWidth="1"/>
    <col min="6" max="6" width="8.71428571428571" customWidth="1"/>
    <col min="7" max="7" width="18.7142857142857" customWidth="1"/>
    <col min="8" max="8" width="2.21904761904762" customWidth="1"/>
    <col min="9" max="9" width="8.71428571428571" customWidth="1"/>
    <col min="10" max="10" width="18.7142857142857" customWidth="1"/>
  </cols>
  <sheetData>
    <row r="1" spans="1:10">
      <c r="A1" s="12" t="s">
        <v>51</v>
      </c>
    </row>
    <row r="2" spans="1:10">
      <c r="A2" s="12" t="s">
        <v>1</v>
      </c>
    </row>
    <row r="3" spans="1:10">
      <c r="A3" s="12" t="s">
        <v>52</v>
      </c>
    </row>
    <row r="6" ht="15.75" spans="1:10">
      <c r="B6" s="13"/>
      <c r="C6" s="13" t="s">
        <v>40</v>
      </c>
      <c r="D6" s="13"/>
    </row>
    <row r="7" ht="15.75" spans="1:10">
      <c r="B7" s="14" t="s">
        <v>12</v>
      </c>
      <c r="C7" s="14" t="s">
        <v>13</v>
      </c>
      <c r="D7" s="14" t="s">
        <v>42</v>
      </c>
    </row>
    <row r="8" ht="16.5" spans="1:10">
      <c r="B8" s="15" t="s">
        <v>16</v>
      </c>
      <c r="C8" s="15" t="s">
        <v>17</v>
      </c>
      <c r="D8" s="15">
        <v>46.4</v>
      </c>
    </row>
    <row r="11" ht="15.75" spans="1:10">
      <c r="B11" s="13"/>
      <c r="C11" s="13" t="s">
        <v>53</v>
      </c>
      <c r="D11" s="13"/>
      <c r="F11" s="13" t="s">
        <v>54</v>
      </c>
      <c r="G11" s="13" t="s">
        <v>40</v>
      </c>
      <c r="I11" s="13" t="s">
        <v>55</v>
      </c>
      <c r="J11" s="13" t="s">
        <v>40</v>
      </c>
    </row>
    <row r="12" ht="15.75" spans="1:10">
      <c r="B12" s="14" t="s">
        <v>12</v>
      </c>
      <c r="C12" s="14" t="s">
        <v>13</v>
      </c>
      <c r="D12" s="14" t="s">
        <v>42</v>
      </c>
      <c r="F12" s="14" t="s">
        <v>56</v>
      </c>
      <c r="G12" s="14" t="s">
        <v>57</v>
      </c>
      <c r="I12" s="14" t="s">
        <v>56</v>
      </c>
      <c r="J12" s="14" t="s">
        <v>57</v>
      </c>
    </row>
    <row r="13" ht="15.75" spans="1:10">
      <c r="B13" s="16" t="s">
        <v>20</v>
      </c>
      <c r="C13" s="16" t="s">
        <v>21</v>
      </c>
      <c r="D13" s="16">
        <v>4.4</v>
      </c>
      <c r="F13" s="16">
        <v>0</v>
      </c>
      <c r="G13" s="16">
        <v>28.8</v>
      </c>
      <c r="I13" s="16">
        <v>4.4</v>
      </c>
      <c r="J13" s="16">
        <v>46.4</v>
      </c>
    </row>
    <row r="14" ht="15.75" spans="1:10">
      <c r="B14" s="15" t="s">
        <v>23</v>
      </c>
      <c r="C14" s="15" t="s">
        <v>24</v>
      </c>
      <c r="D14" s="15">
        <v>4.8</v>
      </c>
      <c r="F14" s="15">
        <v>0</v>
      </c>
      <c r="G14" s="15">
        <v>17.6</v>
      </c>
      <c r="I14" s="15">
        <v>4.8</v>
      </c>
      <c r="J14" s="15">
        <v>46.4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9"/>
  <sheetViews>
    <sheetView showFormulas="1" tabSelected="1" zoomScale="190" zoomScaleNormal="190" workbookViewId="0">
      <selection activeCell="A3" sqref="A3"/>
    </sheetView>
  </sheetViews>
  <sheetFormatPr defaultColWidth="9.14285714285714" defaultRowHeight="15" outlineLevelCol="5"/>
  <cols>
    <col min="1" max="1" width="17.8666666666667" customWidth="1"/>
    <col min="5" max="5" width="10.1047619047619" customWidth="1"/>
  </cols>
  <sheetData>
    <row r="2" spans="1:6">
      <c r="A2" t="s">
        <v>21</v>
      </c>
      <c r="B2">
        <v>4.4</v>
      </c>
    </row>
    <row r="3" spans="1:6">
      <c r="A3" t="s">
        <v>58</v>
      </c>
      <c r="B3">
        <v>4.8</v>
      </c>
    </row>
    <row r="5" spans="1:6">
      <c r="A5" t="s">
        <v>17</v>
      </c>
      <c r="B5" s="1">
        <f>4*B2+6*B3</f>
        <v>46.4</v>
      </c>
    </row>
    <row r="7" ht="15.75" spans="1:6">
      <c r="A7" s="2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4" t="s">
        <v>64</v>
      </c>
    </row>
    <row r="8" spans="1:6">
      <c r="A8" s="5" t="s">
        <v>65</v>
      </c>
      <c r="B8" s="6">
        <v>1</v>
      </c>
      <c r="C8" s="6">
        <v>2</v>
      </c>
      <c r="D8" s="6">
        <v>14</v>
      </c>
      <c r="E8" s="7">
        <f>B8*$B$2+C8*$B$3</f>
        <v>14</v>
      </c>
      <c r="F8" s="8">
        <f>D8-E8</f>
        <v>0</v>
      </c>
    </row>
    <row r="9" ht="15.75" spans="1:6">
      <c r="A9" s="9" t="s">
        <v>66</v>
      </c>
      <c r="B9" s="10">
        <v>3</v>
      </c>
      <c r="C9" s="10">
        <v>1</v>
      </c>
      <c r="D9" s="10">
        <v>18</v>
      </c>
      <c r="E9" s="10">
        <f>B9*$B$2+C9*$B$3</f>
        <v>18</v>
      </c>
      <c r="F9" s="11">
        <f>D9-E9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Отчет о результатах</vt:lpstr>
      <vt:lpstr>Отчет об устойчивости</vt:lpstr>
      <vt:lpstr>Отчет о пределах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mira3eee</dc:creator>
  <cp:lastModifiedBy>RAYSKIY_KOTIK</cp:lastModifiedBy>
  <dcterms:created xsi:type="dcterms:W3CDTF">2026-10-28T07:41:06Z</dcterms:created>
  <dcterms:modified xsi:type="dcterms:W3CDTF">2026-10-28T10:14:01Z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B13C57174C9E4D87971D4A4B385B8114_11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1</vt:i4>
  </property>
</Properties>
</file>