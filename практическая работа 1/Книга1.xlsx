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 firstSheet="1" activeTab="3"/>
  </bookViews>
  <sheets>
    <sheet name="Базовый расчёт" sheetId="1" r:id="rId1"/>
    <sheet name="Базовый расчёт (вариант 1)" sheetId="3" r:id="rId2"/>
    <sheet name="Эксперименты" sheetId="2" r:id="rId3"/>
    <sheet name="Серия 1" sheetId="4" r:id="rId4"/>
    <sheet name="Серия 2" sheetId="5" r:id="rId5"/>
    <sheet name="Серия 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<sst xmlns="http://schemas.openxmlformats.org/spreadsheetml/2006/main" count="109" uniqueCount="41">
  <si>
    <t>t</t>
  </si>
  <si>
    <t>N(t)</t>
  </si>
  <si>
    <t>прирост</t>
  </si>
  <si>
    <t>доля насыщения</t>
  </si>
  <si>
    <t>№</t>
  </si>
  <si>
    <t>серия</t>
  </si>
  <si>
    <t>а</t>
  </si>
  <si>
    <t>К</t>
  </si>
  <si>
    <r>
      <rPr>
        <b/>
        <sz val="11"/>
        <color rgb="FF000000"/>
        <rFont val="Times New Roman"/>
        <charset val="134"/>
      </rPr>
      <t>N</t>
    </r>
    <r>
      <rPr>
        <b/>
        <vertAlign val="subscript"/>
        <sz val="11"/>
        <color rgb="FF000000"/>
        <rFont val="Times New Roman"/>
        <charset val="134"/>
      </rPr>
      <t>0</t>
    </r>
  </si>
  <si>
    <t xml:space="preserve">T*0,95·K </t>
  </si>
  <si>
    <t>режим</t>
  </si>
  <si>
    <t>колебания</t>
  </si>
  <si>
    <t>N(30)</t>
  </si>
  <si>
    <t>Монотонный выход к К</t>
  </si>
  <si>
    <t>нет</t>
  </si>
  <si>
    <t>60505.191</t>
  </si>
  <si>
    <t>79841.473</t>
  </si>
  <si>
    <t>79999.716</t>
  </si>
  <si>
    <t>80000.000</t>
  </si>
  <si>
    <t>1,20</t>
  </si>
  <si>
    <t>Затухающе колебания вокруг К</t>
  </si>
  <si>
    <t>да</t>
  </si>
  <si>
    <t>79994.740</t>
  </si>
  <si>
    <t>79999.963</t>
  </si>
  <si>
    <t>NONE</t>
  </si>
  <si>
    <t>59999.868</t>
  </si>
  <si>
    <t>119999.170</t>
  </si>
  <si>
    <t>a=0,15</t>
  </si>
  <si>
    <t>a=0,3</t>
  </si>
  <si>
    <t>a=0,45</t>
  </si>
  <si>
    <t>a=0,60</t>
  </si>
  <si>
    <t>a=0,75</t>
  </si>
  <si>
    <t>a=0,9</t>
  </si>
  <si>
    <t>a=1,20</t>
  </si>
  <si>
    <t>N0 =500</t>
  </si>
  <si>
    <t>N0=3000</t>
  </si>
  <si>
    <t>N0=10000</t>
  </si>
  <si>
    <t>N0=100000</t>
  </si>
  <si>
    <t>K=60000</t>
  </si>
  <si>
    <t>K=80000</t>
  </si>
  <si>
    <t>K=120000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</si>
</sst>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bscript"/>
      <sz val="11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3" fontId="2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3" fontId="2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49" fontId="0" fillId="0" borderId="5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3" fontId="2" fillId="0" borderId="8" xfId="0" applyNumberFormat="1" applyFont="1" applyBorder="1">
      <alignment vertical="center"/>
    </xf>
    <xf numFmtId="0" fontId="0" fillId="0" borderId="9" xfId="0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8131230471656"/>
          <c:y val="0.174537037037037"/>
          <c:w val="0.638059812527898"/>
          <c:h val="0.61421296296296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'Базовый расчёт'!$B$5</c:f>
              <c:strCache>
                <c:ptCount val="1"/>
                <c:pt idx="0">
                  <c:v>N(t)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'Базовый расчёт'!$A$6:$A$30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'Базовый расчёт'!$B$6:$B$30</c:f>
              <c:numCache>
                <c:formatCode>General</c:formatCode>
                <c:ptCount val="25"/>
                <c:pt idx="0">
                  <c:v>5000</c:v>
                </c:pt>
                <c:pt idx="1">
                  <c:v>7850</c:v>
                </c:pt>
                <c:pt idx="2">
                  <c:v>12190.265</c:v>
                </c:pt>
                <c:pt idx="3">
                  <c:v>18612.8086353786</c:v>
                </c:pt>
                <c:pt idx="4">
                  <c:v>27701.8739448225</c:v>
                </c:pt>
                <c:pt idx="5">
                  <c:v>39718.635391387</c:v>
                </c:pt>
                <c:pt idx="6">
                  <c:v>54084.3966420955</c:v>
                </c:pt>
                <c:pt idx="7">
                  <c:v>68984.3028665157</c:v>
                </c:pt>
                <c:pt idx="8">
                  <c:v>81821.8803345502</c:v>
                </c:pt>
                <c:pt idx="9">
                  <c:v>90746.0879263916</c:v>
                </c:pt>
                <c:pt idx="10">
                  <c:v>95784.6258385602</c:v>
                </c:pt>
                <c:pt idx="11">
                  <c:v>98207.2340594985</c:v>
                </c:pt>
                <c:pt idx="12">
                  <c:v>99263.6095654949</c:v>
                </c:pt>
                <c:pt idx="13">
                  <c:v>99702.1902009658</c:v>
                </c:pt>
                <c:pt idx="14">
                  <c:v>99880.3439363279</c:v>
                </c:pt>
                <c:pt idx="15">
                  <c:v>99952.0516690897</c:v>
                </c:pt>
                <c:pt idx="16">
                  <c:v>99980.8068733813</c:v>
                </c:pt>
                <c:pt idx="17">
                  <c:v>99992.3205390958</c:v>
                </c:pt>
                <c:pt idx="18">
                  <c:v>99996.9278617936</c:v>
                </c:pt>
                <c:pt idx="19">
                  <c:v>99998.7710880893</c:v>
                </c:pt>
                <c:pt idx="20">
                  <c:v>99999.5084261744</c:v>
                </c:pt>
                <c:pt idx="21">
                  <c:v>99999.8033690199</c:v>
                </c:pt>
                <c:pt idx="22">
                  <c:v>99999.921347376</c:v>
                </c:pt>
                <c:pt idx="23">
                  <c:v>99999.9685389133</c:v>
                </c:pt>
                <c:pt idx="24">
                  <c:v>99999.9874155594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645260"/>
        <c:axId val="905749850"/>
      </c:scatterChart>
      <c:valAx>
        <c:axId val="751645260"/>
        <c:scaling>
          <c:orientation val="minMax"/>
          <c:max val="25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Месяц </a:t>
                </a:r>
                <a:r>
                  <a:rPr lang="en-US" altLang="ru-RU"/>
                  <a:t>t</a:t>
                </a:r>
                <a:endParaRPr lang="en-US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749850"/>
        <c:crosses val="autoZero"/>
        <c:crossBetween val="midCat"/>
      </c:valAx>
      <c:valAx>
        <c:axId val="905749850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Число пользователей </a:t>
                </a:r>
                <a:r>
                  <a:rPr lang="en-US" altLang="ru-RU"/>
                  <a:t>N(t)</a:t>
                </a:r>
                <a:endParaRPr lang="en-US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164526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72df70-9a95-4fa5-be08-fc8bba1b35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Логистическая модель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'Базовый расчёт (вариант 1)'!$B$5</c:f>
              <c:strCache>
                <c:ptCount val="1"/>
                <c:pt idx="0">
                  <c:v>N(t)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'Базовый расчёт (вариант 1)'!$A$6:$A$36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'Базовый расчёт (вариант 1)'!$B$6:$B$36</c:f>
              <c:numCache>
                <c:formatCode>General</c:formatCode>
                <c:ptCount val="31"/>
                <c:pt idx="0">
                  <c:v>3000</c:v>
                </c:pt>
                <c:pt idx="1">
                  <c:v>4299.375</c:v>
                </c:pt>
                <c:pt idx="2">
                  <c:v>6130.11773217773</c:v>
                </c:pt>
                <c:pt idx="3">
                  <c:v>8677.29252997444</c:v>
                </c:pt>
                <c:pt idx="4">
                  <c:v>12158.5375116775</c:v>
                </c:pt>
                <c:pt idx="5">
                  <c:v>16798.3354483037</c:v>
                </c:pt>
                <c:pt idx="6">
                  <c:v>22770.3009847256</c:v>
                </c:pt>
                <c:pt idx="7">
                  <c:v>30100.4492638428</c:v>
                </c:pt>
                <c:pt idx="8">
                  <c:v>38549.1930494679</c:v>
                </c:pt>
                <c:pt idx="9">
                  <c:v>47537.3533199245</c:v>
                </c:pt>
                <c:pt idx="10">
                  <c:v>56217.7875351593</c:v>
                </c:pt>
                <c:pt idx="11">
                  <c:v>63738.3189771467</c:v>
                </c:pt>
                <c:pt idx="12">
                  <c:v>69568.5876704299</c:v>
                </c:pt>
                <c:pt idx="13">
                  <c:v>73650.6424257955</c:v>
                </c:pt>
                <c:pt idx="14">
                  <c:v>76281.0851626588</c:v>
                </c:pt>
                <c:pt idx="15">
                  <c:v>77876.8012468957</c:v>
                </c:pt>
                <c:pt idx="16">
                  <c:v>78806.883337976</c:v>
                </c:pt>
                <c:pt idx="17">
                  <c:v>79335.778494435</c:v>
                </c:pt>
                <c:pt idx="18">
                  <c:v>79632.1964770167</c:v>
                </c:pt>
                <c:pt idx="19">
                  <c:v>79796.9471155569</c:v>
                </c:pt>
                <c:pt idx="20">
                  <c:v>79888.0889921407</c:v>
                </c:pt>
                <c:pt idx="21">
                  <c:v>79938.3784977629</c:v>
                </c:pt>
                <c:pt idx="22">
                  <c:v>79966.086814466</c:v>
                </c:pt>
                <c:pt idx="23">
                  <c:v>79981.3412786204</c:v>
                </c:pt>
                <c:pt idx="24">
                  <c:v>79989.7357449094</c:v>
                </c:pt>
                <c:pt idx="25">
                  <c:v>79994.3540670787</c:v>
                </c:pt>
                <c:pt idx="26">
                  <c:v>79996.8945575876</c:v>
                </c:pt>
                <c:pt idx="27">
                  <c:v>79998.291952427</c:v>
                </c:pt>
                <c:pt idx="28">
                  <c:v>79999.0605574243</c:v>
                </c:pt>
                <c:pt idx="29">
                  <c:v>79999.483301619</c:v>
                </c:pt>
                <c:pt idx="30">
                  <c:v>79999.7158143887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994272"/>
        <c:axId val="379165728"/>
      </c:scatterChart>
      <c:valAx>
        <c:axId val="757994272"/>
        <c:scaling>
          <c:orientation val="minMax"/>
          <c:max val="3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Месяц </a:t>
                </a:r>
                <a:r>
                  <a:rPr lang="en-US" altLang="ru-RU"/>
                  <a:t>t</a:t>
                </a:r>
                <a:endParaRPr lang="en-US" altLang="ru-RU"/>
              </a:p>
            </c:rich>
          </c:tx>
          <c:layout>
            <c:manualLayout>
              <c:xMode val="edge"/>
              <c:yMode val="edge"/>
              <c:x val="0.400685748360167"/>
              <c:y val="0.87800925925925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165728"/>
        <c:crosses val="autoZero"/>
        <c:crossBetween val="midCat"/>
      </c:valAx>
      <c:valAx>
        <c:axId val="37916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Число пользователей </a:t>
                </a:r>
                <a:r>
                  <a:rPr lang="en-US" altLang="ru-RU"/>
                  <a:t>N(t)</a:t>
                </a:r>
                <a:endParaRPr lang="en-US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799427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492b64-3e17-4fcc-ba3f-d0d6cf5561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Серия 1: влияние а</a:t>
            </a:r>
            <a:endParaRPr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'Серия 1'!$H$2</c:f>
              <c:strCache>
                <c:ptCount val="1"/>
                <c:pt idx="0">
                  <c:v>a=0,15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'Серия 1'!$G$3:$G$33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'Серия 1'!$H$3:$H$33</c:f>
              <c:numCache>
                <c:formatCode>General</c:formatCode>
                <c:ptCount val="31"/>
                <c:pt idx="0">
                  <c:v>3000</c:v>
                </c:pt>
                <c:pt idx="1">
                  <c:v>3433.125</c:v>
                </c:pt>
                <c:pt idx="2">
                  <c:v>3925.99434887695</c:v>
                </c:pt>
                <c:pt idx="3">
                  <c:v>4485.9933169071</c:v>
                </c:pt>
                <c:pt idx="4">
                  <c:v>5121.15955936941</c:v>
                </c:pt>
                <c:pt idx="5">
                  <c:v>5840.15922721384</c:v>
                </c:pt>
                <c:pt idx="6">
                  <c:v>6652.2316241724</c:v>
                </c:pt>
                <c:pt idx="7">
                  <c:v>7567.09351983268</c:v>
                </c:pt>
                <c:pt idx="8">
                  <c:v>8594.79335217403</c:v>
                </c:pt>
                <c:pt idx="9">
                  <c:v>9745.50521856281</c:v>
                </c:pt>
                <c:pt idx="10">
                  <c:v>11029.2531164128</c:v>
                </c:pt>
                <c:pt idx="11">
                  <c:v>12455.5577883011</c:v>
                </c:pt>
                <c:pt idx="12">
                  <c:v>14033.0022318881</c:v>
                </c:pt>
                <c:pt idx="13">
                  <c:v>15768.717907346</c:v>
                </c:pt>
                <c:pt idx="14">
                  <c:v>17667.8022226202</c:v>
                </c:pt>
                <c:pt idx="15">
                  <c:v>19732.6889896802</c:v>
                </c:pt>
                <c:pt idx="16">
                  <c:v>21962.5066854507</c:v>
                </c:pt>
                <c:pt idx="17">
                  <c:v>24352.47325094</c:v>
                </c:pt>
                <c:pt idx="18">
                  <c:v>26893.3887008852</c:v>
                </c:pt>
                <c:pt idx="19">
                  <c:v>29571.2950888613</c:v>
                </c:pt>
                <c:pt idx="20">
                  <c:v>32367.3740523795</c:v>
                </c:pt>
                <c:pt idx="21">
                  <c:v>35258.142217024</c:v>
                </c:pt>
                <c:pt idx="22">
                  <c:v>38215.9824384603</c:v>
                </c:pt>
                <c:pt idx="23">
                  <c:v>41210.014840973</c:v>
                </c:pt>
                <c:pt idx="24">
                  <c:v>44207.2695861316</c:v>
                </c:pt>
                <c:pt idx="25">
                  <c:v>47174.0799910622</c:v>
                </c:pt>
                <c:pt idx="26">
                  <c:v>50077.5785715906</c:v>
                </c:pt>
                <c:pt idx="27">
                  <c:v>52887.1580905908</c:v>
                </c:pt>
                <c:pt idx="28">
                  <c:v>55575.7602587435</c:v>
                </c:pt>
                <c:pt idx="29">
                  <c:v>58120.8771819225</c:v>
                </c:pt>
                <c:pt idx="30">
                  <c:v>60505.1905759682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'Серия 1'!$I$2</c:f>
              <c:strCache>
                <c:ptCount val="1"/>
                <c:pt idx="0">
                  <c:v>a=0,3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'Серия 1'!$G$3:$G$33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'Серия 1'!$I$3:$I$33</c:f>
              <c:numCache>
                <c:formatCode>General</c:formatCode>
                <c:ptCount val="31"/>
                <c:pt idx="0">
                  <c:v>3000</c:v>
                </c:pt>
                <c:pt idx="1">
                  <c:v>3866.25</c:v>
                </c:pt>
                <c:pt idx="2">
                  <c:v>4970.07041601562</c:v>
                </c:pt>
                <c:pt idx="3">
                  <c:v>6368.46054104474</c:v>
                </c:pt>
                <c:pt idx="4">
                  <c:v>8126.90886712249</c:v>
                </c:pt>
                <c:pt idx="5">
                  <c:v>10317.3065982548</c:v>
                </c:pt>
                <c:pt idx="6">
                  <c:v>13013.3230198223</c:v>
                </c:pt>
                <c:pt idx="7">
                  <c:v>16282.2702657006</c:v>
                </c:pt>
                <c:pt idx="8">
                  <c:v>20172.7801266408</c:v>
                </c:pt>
                <c:pt idx="9">
                  <c:v>24698.5851969913</c:v>
                </c:pt>
                <c:pt idx="10">
                  <c:v>29820.5853408398</c:v>
                </c:pt>
                <c:pt idx="11">
                  <c:v>35432.0085303281</c:v>
                </c:pt>
                <c:pt idx="12">
                  <c:v>41353.7589825769</c:v>
                </c:pt>
                <c:pt idx="13">
                  <c:v>47346.886494891</c:v>
                </c:pt>
                <c:pt idx="14">
                  <c:v>53144.4737155079</c:v>
                </c:pt>
                <c:pt idx="15">
                  <c:v>58496.5592557916</c:v>
                </c:pt>
                <c:pt idx="16">
                  <c:v>63213.5991146553</c:v>
                </c:pt>
                <c:pt idx="17">
                  <c:v>67192.8321751956</c:v>
                </c:pt>
                <c:pt idx="18">
                  <c:v>70419.8942187893</c:v>
                </c:pt>
                <c:pt idx="19">
                  <c:v>72949.7568527306</c:v>
                </c:pt>
                <c:pt idx="20">
                  <c:v>74878.4325652778</c:v>
                </c:pt>
                <c:pt idx="21">
                  <c:v>76316.5385969879</c:v>
                </c:pt>
                <c:pt idx="22">
                  <c:v>77370.6974382385</c:v>
                </c:pt>
                <c:pt idx="23">
                  <c:v>78133.5635869121</c:v>
                </c:pt>
                <c:pt idx="24">
                  <c:v>78680.4310675231</c:v>
                </c:pt>
                <c:pt idx="25">
                  <c:v>79069.7720141378</c:v>
                </c:pt>
                <c:pt idx="26">
                  <c:v>79345.5954445002</c:v>
                </c:pt>
                <c:pt idx="27">
                  <c:v>79540.3108911917</c:v>
                </c:pt>
                <c:pt idx="28">
                  <c:v>79677.4251960463</c:v>
                </c:pt>
                <c:pt idx="29">
                  <c:v>79773.8074328419</c:v>
                </c:pt>
                <c:pt idx="30">
                  <c:v>79841.4733414489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'Серия 1'!$J$2</c:f>
              <c:strCache>
                <c:ptCount val="1"/>
                <c:pt idx="0">
                  <c:v>a=0,45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'Серия 1'!$G$3:$G$33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'Серия 1'!$J$3:$J$33</c:f>
              <c:numCache>
                <c:formatCode>General</c:formatCode>
                <c:ptCount val="31"/>
                <c:pt idx="0">
                  <c:v>3000</c:v>
                </c:pt>
                <c:pt idx="1">
                  <c:v>4299.375</c:v>
                </c:pt>
                <c:pt idx="2">
                  <c:v>6130.11773217773</c:v>
                </c:pt>
                <c:pt idx="3">
                  <c:v>8677.29252997444</c:v>
                </c:pt>
                <c:pt idx="4">
                  <c:v>12158.5375116775</c:v>
                </c:pt>
                <c:pt idx="5">
                  <c:v>16798.3354483037</c:v>
                </c:pt>
                <c:pt idx="6">
                  <c:v>22770.3009847256</c:v>
                </c:pt>
                <c:pt idx="7">
                  <c:v>30100.4492638428</c:v>
                </c:pt>
                <c:pt idx="8">
                  <c:v>38549.1930494679</c:v>
                </c:pt>
                <c:pt idx="9">
                  <c:v>47537.3533199245</c:v>
                </c:pt>
                <c:pt idx="10">
                  <c:v>56217.7875351593</c:v>
                </c:pt>
                <c:pt idx="11">
                  <c:v>63738.3189771467</c:v>
                </c:pt>
                <c:pt idx="12">
                  <c:v>69568.5876704299</c:v>
                </c:pt>
                <c:pt idx="13">
                  <c:v>73650.6424257955</c:v>
                </c:pt>
                <c:pt idx="14">
                  <c:v>76281.0851626588</c:v>
                </c:pt>
                <c:pt idx="15">
                  <c:v>77876.8012468957</c:v>
                </c:pt>
                <c:pt idx="16">
                  <c:v>78806.883337976</c:v>
                </c:pt>
                <c:pt idx="17">
                  <c:v>79335.778494435</c:v>
                </c:pt>
                <c:pt idx="18">
                  <c:v>79632.1964770167</c:v>
                </c:pt>
                <c:pt idx="19">
                  <c:v>79796.9471155569</c:v>
                </c:pt>
                <c:pt idx="20">
                  <c:v>79888.0889921407</c:v>
                </c:pt>
                <c:pt idx="21">
                  <c:v>79938.3784977629</c:v>
                </c:pt>
                <c:pt idx="22">
                  <c:v>79966.086814466</c:v>
                </c:pt>
                <c:pt idx="23">
                  <c:v>79981.3412786204</c:v>
                </c:pt>
                <c:pt idx="24">
                  <c:v>79989.7357449094</c:v>
                </c:pt>
                <c:pt idx="25">
                  <c:v>79994.3540670787</c:v>
                </c:pt>
                <c:pt idx="26">
                  <c:v>79996.8945575876</c:v>
                </c:pt>
                <c:pt idx="27">
                  <c:v>79998.291952427</c:v>
                </c:pt>
                <c:pt idx="28">
                  <c:v>79999.0605574243</c:v>
                </c:pt>
                <c:pt idx="29">
                  <c:v>79999.483301619</c:v>
                </c:pt>
                <c:pt idx="30">
                  <c:v>79999.7158143887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'Серия 1'!$K$2</c:f>
              <c:strCache>
                <c:ptCount val="1"/>
                <c:pt idx="0">
                  <c:v>a=0,60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'Серия 1'!$G$3:$G$33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'Серия 1'!$K$3:$K$33</c:f>
              <c:numCache>
                <c:formatCode>General</c:formatCode>
                <c:ptCount val="31"/>
                <c:pt idx="0">
                  <c:v>3000</c:v>
                </c:pt>
                <c:pt idx="1">
                  <c:v>4732.5</c:v>
                </c:pt>
                <c:pt idx="2">
                  <c:v>7404.025828125</c:v>
                </c:pt>
                <c:pt idx="3">
                  <c:v>11435.2943365234</c:v>
                </c:pt>
                <c:pt idx="4">
                  <c:v>17315.7262642156</c:v>
                </c:pt>
                <c:pt idx="5">
                  <c:v>25456.4042023156</c:v>
                </c:pt>
                <c:pt idx="6">
                  <c:v>35870.0328618674</c:v>
                </c:pt>
                <c:pt idx="7">
                  <c:v>47742.108147652</c:v>
                </c:pt>
                <c:pt idx="8">
                  <c:v>59292.5563583774</c:v>
                </c:pt>
                <c:pt idx="9">
                  <c:v>68501.0358770687</c:v>
                </c:pt>
                <c:pt idx="10">
                  <c:v>74408.718031574</c:v>
                </c:pt>
                <c:pt idx="11">
                  <c:v>77529.0189572513</c:v>
                </c:pt>
                <c:pt idx="12">
                  <c:v>78965.8144780483</c:v>
                </c:pt>
                <c:pt idx="13">
                  <c:v>79578.3042435157</c:v>
                </c:pt>
                <c:pt idx="14">
                  <c:v>79829.9879925735</c:v>
                </c:pt>
                <c:pt idx="15">
                  <c:v>79931.7784164094</c:v>
                </c:pt>
                <c:pt idx="16">
                  <c:v>79972.6764601802</c:v>
                </c:pt>
                <c:pt idx="17">
                  <c:v>79989.0649847534</c:v>
                </c:pt>
                <c:pt idx="18">
                  <c:v>79995.6250970922</c:v>
                </c:pt>
                <c:pt idx="19">
                  <c:v>79998.2498952886</c:v>
                </c:pt>
                <c:pt idx="20">
                  <c:v>79999.2999351439</c:v>
                </c:pt>
                <c:pt idx="21">
                  <c:v>79999.7199703819</c:v>
                </c:pt>
                <c:pt idx="22">
                  <c:v>79999.8879875646</c:v>
                </c:pt>
                <c:pt idx="23">
                  <c:v>79999.9551949318</c:v>
                </c:pt>
                <c:pt idx="24">
                  <c:v>79999.9820779576</c:v>
                </c:pt>
                <c:pt idx="25">
                  <c:v>79999.9928311806</c:v>
                </c:pt>
                <c:pt idx="26">
                  <c:v>79999.9971324719</c:v>
                </c:pt>
                <c:pt idx="27">
                  <c:v>79999.9988529887</c:v>
                </c:pt>
                <c:pt idx="28">
                  <c:v>79999.9995411955</c:v>
                </c:pt>
                <c:pt idx="29">
                  <c:v>79999.9998164782</c:v>
                </c:pt>
                <c:pt idx="30">
                  <c:v>79999.9999265913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'Серия 1'!$L$2</c:f>
              <c:strCache>
                <c:ptCount val="1"/>
                <c:pt idx="0">
                  <c:v>a=0,75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'Серия 1'!$G$3:$G$33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'Серия 1'!$L$3:$L$33</c:f>
              <c:numCache>
                <c:formatCode>General</c:formatCode>
                <c:ptCount val="31"/>
                <c:pt idx="0">
                  <c:v>3000</c:v>
                </c:pt>
                <c:pt idx="1">
                  <c:v>5165.625</c:v>
                </c:pt>
                <c:pt idx="2">
                  <c:v>8789.68423461914</c:v>
                </c:pt>
                <c:pt idx="3">
                  <c:v>14657.6485142306</c:v>
                </c:pt>
                <c:pt idx="4">
                  <c:v>23636.6974627154</c:v>
                </c:pt>
                <c:pt idx="5">
                  <c:v>36126.4693071526</c:v>
                </c:pt>
                <c:pt idx="6">
                  <c:v>50985.8045568861</c:v>
                </c:pt>
                <c:pt idx="7">
                  <c:v>64854.3554778664</c:v>
                </c:pt>
                <c:pt idx="8">
                  <c:v>74063.0524820525</c:v>
                </c:pt>
                <c:pt idx="9">
                  <c:v>78185.3192533488</c:v>
                </c:pt>
                <c:pt idx="10">
                  <c:v>79515.4573175972</c:v>
                </c:pt>
                <c:pt idx="11">
                  <c:v>79876.6632517955</c:v>
                </c:pt>
                <c:pt idx="12">
                  <c:v>79969.0232008852</c:v>
                </c:pt>
                <c:pt idx="13">
                  <c:v>79992.2468043268</c:v>
                </c:pt>
                <c:pt idx="14">
                  <c:v>79998.0611375313</c:v>
                </c:pt>
                <c:pt idx="15">
                  <c:v>79999.5152491404</c:v>
                </c:pt>
                <c:pt idx="16">
                  <c:v>79999.8788100821</c:v>
                </c:pt>
                <c:pt idx="17">
                  <c:v>79999.9697023828</c:v>
                </c:pt>
                <c:pt idx="18">
                  <c:v>79999.9924255871</c:v>
                </c:pt>
                <c:pt idx="19">
                  <c:v>79999.9981063962</c:v>
                </c:pt>
                <c:pt idx="20">
                  <c:v>79999.999526599</c:v>
                </c:pt>
                <c:pt idx="21">
                  <c:v>79999.9998816498</c:v>
                </c:pt>
                <c:pt idx="22">
                  <c:v>79999.9999704124</c:v>
                </c:pt>
                <c:pt idx="23">
                  <c:v>79999.9999926031</c:v>
                </c:pt>
                <c:pt idx="24">
                  <c:v>79999.9999981508</c:v>
                </c:pt>
                <c:pt idx="25">
                  <c:v>79999.9999995377</c:v>
                </c:pt>
                <c:pt idx="26">
                  <c:v>79999.9999998844</c:v>
                </c:pt>
                <c:pt idx="27">
                  <c:v>79999.9999999711</c:v>
                </c:pt>
                <c:pt idx="28">
                  <c:v>79999.9999999928</c:v>
                </c:pt>
                <c:pt idx="29">
                  <c:v>79999.9999999982</c:v>
                </c:pt>
                <c:pt idx="30">
                  <c:v>79999.9999999995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'Серия 1'!$M$2</c:f>
              <c:strCache>
                <c:ptCount val="1"/>
                <c:pt idx="0">
                  <c:v>a=0,9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'Серия 1'!$G$3:$G$33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'Серия 1'!$M$3:$M$33</c:f>
              <c:numCache>
                <c:formatCode>General</c:formatCode>
                <c:ptCount val="31"/>
                <c:pt idx="0">
                  <c:v>3000</c:v>
                </c:pt>
                <c:pt idx="1">
                  <c:v>5598.75</c:v>
                </c:pt>
                <c:pt idx="2">
                  <c:v>10284.9824824219</c:v>
                </c:pt>
                <c:pt idx="3">
                  <c:v>18351.4319891347</c:v>
                </c:pt>
                <c:pt idx="4">
                  <c:v>31079.0013987727</c:v>
                </c:pt>
                <c:pt idx="5">
                  <c:v>48183.6789682878</c:v>
                </c:pt>
                <c:pt idx="6">
                  <c:v>65430.2372019079</c:v>
                </c:pt>
                <c:pt idx="7">
                  <c:v>76154.8963552733</c:v>
                </c:pt>
                <c:pt idx="8">
                  <c:v>79449.1603875921</c:v>
                </c:pt>
                <c:pt idx="9">
                  <c:v>79941.502515625</c:v>
                </c:pt>
                <c:pt idx="10">
                  <c:v>79994.1117545611</c:v>
                </c:pt>
                <c:pt idx="11">
                  <c:v>79999.4107854025</c:v>
                </c:pt>
                <c:pt idx="12">
                  <c:v>79999.9410746345</c:v>
                </c:pt>
                <c:pt idx="13">
                  <c:v>79999.9941074244</c:v>
                </c:pt>
                <c:pt idx="14">
                  <c:v>79999.999410742</c:v>
                </c:pt>
                <c:pt idx="15">
                  <c:v>79999.9999410742</c:v>
                </c:pt>
                <c:pt idx="16">
                  <c:v>79999.9999941074</c:v>
                </c:pt>
                <c:pt idx="17">
                  <c:v>79999.9999994107</c:v>
                </c:pt>
                <c:pt idx="18">
                  <c:v>79999.9999999411</c:v>
                </c:pt>
                <c:pt idx="19">
                  <c:v>79999.9999999941</c:v>
                </c:pt>
                <c:pt idx="20">
                  <c:v>79999.9999999994</c:v>
                </c:pt>
                <c:pt idx="21">
                  <c:v>79999.9999999999</c:v>
                </c:pt>
                <c:pt idx="22">
                  <c:v>80000</c:v>
                </c:pt>
                <c:pt idx="23">
                  <c:v>80000</c:v>
                </c:pt>
                <c:pt idx="24">
                  <c:v>80000</c:v>
                </c:pt>
                <c:pt idx="25">
                  <c:v>80000</c:v>
                </c:pt>
                <c:pt idx="26">
                  <c:v>80000</c:v>
                </c:pt>
                <c:pt idx="27">
                  <c:v>80000</c:v>
                </c:pt>
                <c:pt idx="28">
                  <c:v>80000</c:v>
                </c:pt>
                <c:pt idx="29">
                  <c:v>80000</c:v>
                </c:pt>
                <c:pt idx="30">
                  <c:v>80000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'Серия 1'!$N$2</c:f>
              <c:strCache>
                <c:ptCount val="1"/>
                <c:pt idx="0">
                  <c:v>a=1,20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'Серия 1'!$G$3:$G$33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'Серия 1'!$N$3:$N$33</c:f>
              <c:numCache>
                <c:formatCode>General</c:formatCode>
                <c:ptCount val="31"/>
                <c:pt idx="0">
                  <c:v>3000</c:v>
                </c:pt>
                <c:pt idx="1">
                  <c:v>6465</c:v>
                </c:pt>
                <c:pt idx="2">
                  <c:v>13596.056625</c:v>
                </c:pt>
                <c:pt idx="3">
                  <c:v>27138.5332387469</c:v>
                </c:pt>
                <c:pt idx="4">
                  <c:v>48657.2733299846</c:v>
                </c:pt>
                <c:pt idx="5">
                  <c:v>71533.0476073337</c:v>
                </c:pt>
                <c:pt idx="6">
                  <c:v>80618.0512362381</c:v>
                </c:pt>
                <c:pt idx="7">
                  <c:v>79870.6599427932</c:v>
                </c:pt>
                <c:pt idx="8">
                  <c:v>80025.6170786854</c:v>
                </c:pt>
                <c:pt idx="9">
                  <c:v>79994.8667407421</c:v>
                </c:pt>
                <c:pt idx="10">
                  <c:v>80001.0262565963</c:v>
                </c:pt>
                <c:pt idx="11">
                  <c:v>79999.7947328827</c:v>
                </c:pt>
                <c:pt idx="12">
                  <c:v>80000.0410527914</c:v>
                </c:pt>
                <c:pt idx="13">
                  <c:v>79999.9917894164</c:v>
                </c:pt>
                <c:pt idx="14">
                  <c:v>80000.0016421157</c:v>
                </c:pt>
                <c:pt idx="15">
                  <c:v>79999.9996715768</c:v>
                </c:pt>
                <c:pt idx="16">
                  <c:v>80000.0000656846</c:v>
                </c:pt>
                <c:pt idx="17">
                  <c:v>79999.9999868631</c:v>
                </c:pt>
                <c:pt idx="18">
                  <c:v>80000.0000026274</c:v>
                </c:pt>
                <c:pt idx="19">
                  <c:v>79999.9999994745</c:v>
                </c:pt>
                <c:pt idx="20">
                  <c:v>80000.0000001051</c:v>
                </c:pt>
                <c:pt idx="21">
                  <c:v>79999.999999979</c:v>
                </c:pt>
                <c:pt idx="22">
                  <c:v>80000.0000000042</c:v>
                </c:pt>
                <c:pt idx="23">
                  <c:v>79999.9999999992</c:v>
                </c:pt>
                <c:pt idx="24">
                  <c:v>80000.0000000002</c:v>
                </c:pt>
                <c:pt idx="25">
                  <c:v>80000</c:v>
                </c:pt>
                <c:pt idx="26">
                  <c:v>80000</c:v>
                </c:pt>
                <c:pt idx="27">
                  <c:v>80000</c:v>
                </c:pt>
                <c:pt idx="28">
                  <c:v>80000</c:v>
                </c:pt>
                <c:pt idx="29">
                  <c:v>80000</c:v>
                </c:pt>
                <c:pt idx="30">
                  <c:v>80000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64801"/>
        <c:axId val="355113334"/>
      </c:scatterChart>
      <c:valAx>
        <c:axId val="1982648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Месяц </a:t>
                </a:r>
                <a:r>
                  <a:rPr lang="en-US" altLang="ru-RU"/>
                  <a:t>t</a:t>
                </a:r>
                <a:endParaRPr lang="en-US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5113334"/>
        <c:crosses val="autoZero"/>
        <c:crossBetween val="midCat"/>
      </c:valAx>
      <c:valAx>
        <c:axId val="3551133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ru-RU"/>
                  <a:t>a</a:t>
                </a:r>
                <a:endParaRPr lang="en-US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26480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987c05-a531-4cec-ba81-62f14689443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Серия 2: влияние </a:t>
            </a:r>
            <a:r>
              <a:rPr lang="en-US" altLang="ru-RU"/>
              <a:t>N0</a:t>
            </a:r>
            <a:endParaRPr lang="en-US" alt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'Серия 2'!$H$2</c:f>
              <c:strCache>
                <c:ptCount val="1"/>
                <c:pt idx="0">
                  <c:v>N0 =500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'Серия 2'!$G$3:$G$33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'Серия 2'!$H$3:$H$33</c:f>
              <c:numCache>
                <c:formatCode>General</c:formatCode>
                <c:ptCount val="31"/>
                <c:pt idx="0">
                  <c:v>500</c:v>
                </c:pt>
                <c:pt idx="1">
                  <c:v>723.59375</c:v>
                </c:pt>
                <c:pt idx="2">
                  <c:v>1046.26575547791</c:v>
                </c:pt>
                <c:pt idx="3">
                  <c:v>1510.92781526811</c:v>
                </c:pt>
                <c:pt idx="4">
                  <c:v>2178.00400353465</c:v>
                </c:pt>
                <c:pt idx="5">
                  <c:v>3131.42248452855</c:v>
                </c:pt>
                <c:pt idx="6">
                  <c:v>4485.40493944796</c:v>
                </c:pt>
                <c:pt idx="7">
                  <c:v>6390.66858892616</c:v>
                </c:pt>
                <c:pt idx="8">
                  <c:v>9036.74082574206</c:v>
                </c:pt>
                <c:pt idx="9">
                  <c:v>12643.9215955981</c:v>
                </c:pt>
                <c:pt idx="10">
                  <c:v>17434.4245762168</c:v>
                </c:pt>
                <c:pt idx="11">
                  <c:v>23570.1453588055</c:v>
                </c:pt>
                <c:pt idx="12">
                  <c:v>31051.7321639448</c:v>
                </c:pt>
                <c:pt idx="13">
                  <c:v>39601.3299918248</c:v>
                </c:pt>
                <c:pt idx="14">
                  <c:v>48600.4359668381</c:v>
                </c:pt>
                <c:pt idx="15">
                  <c:v>57184.3687859774</c:v>
                </c:pt>
                <c:pt idx="16">
                  <c:v>64523.2920515072</c:v>
                </c:pt>
                <c:pt idx="17">
                  <c:v>70140.4628781374</c:v>
                </c:pt>
                <c:pt idx="18">
                  <c:v>74030.4456765278</c:v>
                </c:pt>
                <c:pt idx="19">
                  <c:v>76516.2949912228</c:v>
                </c:pt>
                <c:pt idx="20">
                  <c:v>78015.696116864</c:v>
                </c:pt>
                <c:pt idx="21">
                  <c:v>78886.4846410842</c:v>
                </c:pt>
                <c:pt idx="22">
                  <c:v>79380.5920225395</c:v>
                </c:pt>
                <c:pt idx="23">
                  <c:v>79657.1674897824</c:v>
                </c:pt>
                <c:pt idx="24">
                  <c:v>79810.7809898987</c:v>
                </c:pt>
                <c:pt idx="25">
                  <c:v>79895.7281478793</c:v>
                </c:pt>
                <c:pt idx="26">
                  <c:v>79942.5893228509</c:v>
                </c:pt>
                <c:pt idx="27">
                  <c:v>79968.4055876476</c:v>
                </c:pt>
                <c:pt idx="28">
                  <c:v>79982.6174582924</c:v>
                </c:pt>
                <c:pt idx="29">
                  <c:v>79990.4379024516</c:v>
                </c:pt>
                <c:pt idx="30">
                  <c:v>79994.7403320338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'Серия 2'!$I$2</c:f>
              <c:strCache>
                <c:ptCount val="1"/>
                <c:pt idx="0">
                  <c:v>N0=3000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'Серия 2'!$G$3:$G$33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'Серия 2'!$I$3:$I$33</c:f>
              <c:numCache>
                <c:formatCode>General</c:formatCode>
                <c:ptCount val="31"/>
                <c:pt idx="0">
                  <c:v>3000</c:v>
                </c:pt>
                <c:pt idx="1">
                  <c:v>4299.375</c:v>
                </c:pt>
                <c:pt idx="2">
                  <c:v>6130.11773217773</c:v>
                </c:pt>
                <c:pt idx="3">
                  <c:v>8677.29252997444</c:v>
                </c:pt>
                <c:pt idx="4">
                  <c:v>12158.5375116775</c:v>
                </c:pt>
                <c:pt idx="5">
                  <c:v>16798.3354483037</c:v>
                </c:pt>
                <c:pt idx="6">
                  <c:v>22770.3009847256</c:v>
                </c:pt>
                <c:pt idx="7">
                  <c:v>30100.4492638428</c:v>
                </c:pt>
                <c:pt idx="8">
                  <c:v>38549.1930494679</c:v>
                </c:pt>
                <c:pt idx="9">
                  <c:v>47537.3533199245</c:v>
                </c:pt>
                <c:pt idx="10">
                  <c:v>56217.7875351593</c:v>
                </c:pt>
                <c:pt idx="11">
                  <c:v>63738.3189771467</c:v>
                </c:pt>
                <c:pt idx="12">
                  <c:v>69568.5876704299</c:v>
                </c:pt>
                <c:pt idx="13">
                  <c:v>73650.6424257955</c:v>
                </c:pt>
                <c:pt idx="14">
                  <c:v>76281.0851626588</c:v>
                </c:pt>
                <c:pt idx="15">
                  <c:v>77876.8012468957</c:v>
                </c:pt>
                <c:pt idx="16">
                  <c:v>78806.883337976</c:v>
                </c:pt>
                <c:pt idx="17">
                  <c:v>79335.778494435</c:v>
                </c:pt>
                <c:pt idx="18">
                  <c:v>79632.1964770167</c:v>
                </c:pt>
                <c:pt idx="19">
                  <c:v>79796.9471155569</c:v>
                </c:pt>
                <c:pt idx="20">
                  <c:v>79888.0889921407</c:v>
                </c:pt>
                <c:pt idx="21">
                  <c:v>79938.3784977629</c:v>
                </c:pt>
                <c:pt idx="22">
                  <c:v>79966.086814466</c:v>
                </c:pt>
                <c:pt idx="23">
                  <c:v>79981.3412786204</c:v>
                </c:pt>
                <c:pt idx="24">
                  <c:v>79989.7357449094</c:v>
                </c:pt>
                <c:pt idx="25">
                  <c:v>79994.3540670787</c:v>
                </c:pt>
                <c:pt idx="26">
                  <c:v>79996.8945575876</c:v>
                </c:pt>
                <c:pt idx="27">
                  <c:v>79998.291952427</c:v>
                </c:pt>
                <c:pt idx="28">
                  <c:v>79999.0605574243</c:v>
                </c:pt>
                <c:pt idx="29">
                  <c:v>79999.483301619</c:v>
                </c:pt>
                <c:pt idx="30">
                  <c:v>79999.7158143887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'Серия 2'!$J$2</c:f>
              <c:strCache>
                <c:ptCount val="1"/>
                <c:pt idx="0">
                  <c:v>N0=10000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'Серия 2'!$G$3:$G$33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'Серия 2'!$J$3:$J$33</c:f>
              <c:numCache>
                <c:formatCode>General</c:formatCode>
                <c:ptCount val="31"/>
                <c:pt idx="0">
                  <c:v>10000</c:v>
                </c:pt>
                <c:pt idx="1">
                  <c:v>13937.5</c:v>
                </c:pt>
                <c:pt idx="2">
                  <c:v>19116.6967773437</c:v>
                </c:pt>
                <c:pt idx="3">
                  <c:v>25663.5647889658</c:v>
                </c:pt>
                <c:pt idx="4">
                  <c:v>33507.4395570648</c:v>
                </c:pt>
                <c:pt idx="5">
                  <c:v>42270.3270133483</c:v>
                </c:pt>
                <c:pt idx="6">
                  <c:v>51241.3335991434</c:v>
                </c:pt>
                <c:pt idx="7">
                  <c:v>59530.5159555277</c:v>
                </c:pt>
                <c:pt idx="8">
                  <c:v>66384.9100296514</c:v>
                </c:pt>
                <c:pt idx="9">
                  <c:v>71468.9904699919</c:v>
                </c:pt>
                <c:pt idx="10">
                  <c:v>74898.5678132394</c:v>
                </c:pt>
                <c:pt idx="11">
                  <c:v>77047.8238640285</c:v>
                </c:pt>
                <c:pt idx="12">
                  <c:v>78327.2793155656</c:v>
                </c:pt>
                <c:pt idx="13">
                  <c:v>79064.2649045653</c:v>
                </c:pt>
                <c:pt idx="14">
                  <c:v>79480.4204465613</c:v>
                </c:pt>
                <c:pt idx="15">
                  <c:v>79712.7127042267</c:v>
                </c:pt>
                <c:pt idx="16">
                  <c:v>79841.5277336292</c:v>
                </c:pt>
                <c:pt idx="17">
                  <c:v>79912.698990288</c:v>
                </c:pt>
                <c:pt idx="18">
                  <c:v>79951.9415739105</c:v>
                </c:pt>
                <c:pt idx="19">
                  <c:v>79973.5548740815</c:v>
                </c:pt>
                <c:pt idx="20">
                  <c:v>79985.451246931</c:v>
                </c:pt>
                <c:pt idx="21">
                  <c:v>79991.9969951896</c:v>
                </c:pt>
                <c:pt idx="22">
                  <c:v>79995.5979870838</c:v>
                </c:pt>
                <c:pt idx="23">
                  <c:v>79997.5787838964</c:v>
                </c:pt>
                <c:pt idx="24">
                  <c:v>79998.6682981677</c:v>
                </c:pt>
                <c:pt idx="25">
                  <c:v>79999.2675540167</c:v>
                </c:pt>
                <c:pt idx="26">
                  <c:v>79999.5971516915</c:v>
                </c:pt>
                <c:pt idx="27">
                  <c:v>79999.7784325175</c:v>
                </c:pt>
                <c:pt idx="28">
                  <c:v>79999.8781376085</c:v>
                </c:pt>
                <c:pt idx="29">
                  <c:v>79999.9329756011</c:v>
                </c:pt>
                <c:pt idx="30">
                  <c:v>79999.9631365553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'Серия 2'!$K$2</c:f>
              <c:strCache>
                <c:ptCount val="1"/>
                <c:pt idx="0">
                  <c:v>N0=100000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'Серия 2'!$G$3:$G$33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'Серия 2'!$K$3:$K$33</c:f>
              <c:numCache>
                <c:formatCode>General</c:formatCode>
                <c:ptCount val="31"/>
                <c:pt idx="0">
                  <c:v>100000</c:v>
                </c:pt>
                <c:pt idx="1">
                  <c:v>88750</c:v>
                </c:pt>
                <c:pt idx="2">
                  <c:v>84381.8359375</c:v>
                </c:pt>
                <c:pt idx="3">
                  <c:v>82302.0070308447</c:v>
                </c:pt>
                <c:pt idx="4">
                  <c:v>81236.295662383</c:v>
                </c:pt>
                <c:pt idx="5">
                  <c:v>80671.3652126335</c:v>
                </c:pt>
                <c:pt idx="6">
                  <c:v>80366.7155036743</c:v>
                </c:pt>
                <c:pt idx="7">
                  <c:v>80200.9370755548</c:v>
                </c:pt>
                <c:pt idx="8">
                  <c:v>80110.2882781958</c:v>
                </c:pt>
                <c:pt idx="9">
                  <c:v>80060.5901332959</c:v>
                </c:pt>
                <c:pt idx="10">
                  <c:v>80033.3039230138</c:v>
                </c:pt>
                <c:pt idx="11">
                  <c:v>80018.3109186816</c:v>
                </c:pt>
                <c:pt idx="12">
                  <c:v>80010.0691192701</c:v>
                </c:pt>
                <c:pt idx="13">
                  <c:v>80005.5374452957</c:v>
                </c:pt>
                <c:pt idx="14">
                  <c:v>80003.0454224316</c:v>
                </c:pt>
                <c:pt idx="15">
                  <c:v>80001.6749301678</c:v>
                </c:pt>
                <c:pt idx="16">
                  <c:v>80000.921195812</c:v>
                </c:pt>
                <c:pt idx="17">
                  <c:v>80000.5066529232</c:v>
                </c:pt>
                <c:pt idx="18">
                  <c:v>80000.2786576638</c:v>
                </c:pt>
                <c:pt idx="19">
                  <c:v>80000.1532612783</c:v>
                </c:pt>
                <c:pt idx="20">
                  <c:v>80000.084293571</c:v>
                </c:pt>
                <c:pt idx="21">
                  <c:v>80000.0463614241</c:v>
                </c:pt>
                <c:pt idx="22">
                  <c:v>80000.0254987711</c:v>
                </c:pt>
                <c:pt idx="23">
                  <c:v>80000.0140243205</c:v>
                </c:pt>
                <c:pt idx="24">
                  <c:v>80000.0077133751</c:v>
                </c:pt>
                <c:pt idx="25">
                  <c:v>80000.004242356</c:v>
                </c:pt>
                <c:pt idx="26">
                  <c:v>80000.0023332957</c:v>
                </c:pt>
                <c:pt idx="27">
                  <c:v>80000.0012833126</c:v>
                </c:pt>
                <c:pt idx="28">
                  <c:v>80000.0007058219</c:v>
                </c:pt>
                <c:pt idx="29">
                  <c:v>80000.0003882021</c:v>
                </c:pt>
                <c:pt idx="30">
                  <c:v>80000.0002135111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54700"/>
        <c:axId val="802108540"/>
      </c:scatterChart>
      <c:valAx>
        <c:axId val="43665470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Месяц 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2108540"/>
        <c:crosses val="autoZero"/>
        <c:crossBetween val="midCat"/>
      </c:valAx>
      <c:valAx>
        <c:axId val="8021085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ru-RU"/>
                  <a:t>N0</a:t>
                </a:r>
                <a:endParaRPr lang="en-US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665470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eb96ff-12c2-45e2-b1b4-3bebde6f96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Серия 3: влияние </a:t>
            </a:r>
            <a:r>
              <a:rPr lang="en-US" altLang="ru-RU"/>
              <a:t>K</a:t>
            </a:r>
            <a:endParaRPr lang="en-US" alt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'Серия 3'!$H$2</c:f>
              <c:strCache>
                <c:ptCount val="1"/>
                <c:pt idx="0">
                  <c:v>K=60000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'Серия 3'!$G$3:$G$33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'Серия 3'!$H$3:$H$33</c:f>
              <c:numCache>
                <c:formatCode>General</c:formatCode>
                <c:ptCount val="31"/>
                <c:pt idx="0">
                  <c:v>3000</c:v>
                </c:pt>
                <c:pt idx="1">
                  <c:v>4282.5</c:v>
                </c:pt>
                <c:pt idx="2">
                  <c:v>6072.076453125</c:v>
                </c:pt>
                <c:pt idx="3">
                  <c:v>8527.98501363679</c:v>
                </c:pt>
                <c:pt idx="4">
                  <c:v>11820.1293068272</c:v>
                </c:pt>
                <c:pt idx="5">
                  <c:v>16091.3215686736</c:v>
                </c:pt>
                <c:pt idx="6">
                  <c:v>21390.4365508783</c:v>
                </c:pt>
                <c:pt idx="7">
                  <c:v>27584.5021799949</c:v>
                </c:pt>
                <c:pt idx="8">
                  <c:v>34290.7424571065</c:v>
                </c:pt>
                <c:pt idx="9">
                  <c:v>40902.6639258574</c:v>
                </c:pt>
                <c:pt idx="10">
                  <c:v>46761.153320756</c:v>
                </c:pt>
                <c:pt idx="11">
                  <c:v>51404.1313659418</c:v>
                </c:pt>
                <c:pt idx="12">
                  <c:v>54718.1050694631</c:v>
                </c:pt>
                <c:pt idx="13">
                  <c:v>56885.7196827755</c:v>
                </c:pt>
                <c:pt idx="14">
                  <c:v>58214.4052613196</c:v>
                </c:pt>
                <c:pt idx="15">
                  <c:v>58994.0102794448</c:v>
                </c:pt>
                <c:pt idx="16">
                  <c:v>59439.1155388106</c:v>
                </c:pt>
                <c:pt idx="17">
                  <c:v>59689.1541110048</c:v>
                </c:pt>
                <c:pt idx="18">
                  <c:v>59828.3100723024</c:v>
                </c:pt>
                <c:pt idx="19">
                  <c:v>59905.3494590318</c:v>
                </c:pt>
                <c:pt idx="20">
                  <c:v>59947.8750120307</c:v>
                </c:pt>
                <c:pt idx="21">
                  <c:v>59971.3108790091</c:v>
                </c:pt>
                <c:pt idx="22">
                  <c:v>59984.2148104625</c:v>
                </c:pt>
                <c:pt idx="23">
                  <c:v>59991.3162769628</c:v>
                </c:pt>
                <c:pt idx="24">
                  <c:v>59995.2233867767</c:v>
                </c:pt>
                <c:pt idx="25">
                  <c:v>59997.3726916069</c:v>
                </c:pt>
                <c:pt idx="26">
                  <c:v>59998.5549286132</c:v>
                </c:pt>
                <c:pt idx="27">
                  <c:v>59999.2051950755</c:v>
                </c:pt>
                <c:pt idx="28">
                  <c:v>59999.5628525537</c:v>
                </c:pt>
                <c:pt idx="29">
                  <c:v>59999.7595674713</c:v>
                </c:pt>
                <c:pt idx="30">
                  <c:v>59999.8677616756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'Серия 3'!$I$2</c:f>
              <c:strCache>
                <c:ptCount val="1"/>
                <c:pt idx="0">
                  <c:v>K=80000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'Серия 3'!$G$3:$G$33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'Серия 3'!$I$3:$I$33</c:f>
              <c:numCache>
                <c:formatCode>General</c:formatCode>
                <c:ptCount val="31"/>
                <c:pt idx="0">
                  <c:v>3000</c:v>
                </c:pt>
                <c:pt idx="1">
                  <c:v>4299.375</c:v>
                </c:pt>
                <c:pt idx="2">
                  <c:v>6130.11773217773</c:v>
                </c:pt>
                <c:pt idx="3">
                  <c:v>8677.29252997444</c:v>
                </c:pt>
                <c:pt idx="4">
                  <c:v>12158.5375116775</c:v>
                </c:pt>
                <c:pt idx="5">
                  <c:v>16798.3354483037</c:v>
                </c:pt>
                <c:pt idx="6">
                  <c:v>22770.3009847256</c:v>
                </c:pt>
                <c:pt idx="7">
                  <c:v>30100.4492638428</c:v>
                </c:pt>
                <c:pt idx="8">
                  <c:v>38549.1930494679</c:v>
                </c:pt>
                <c:pt idx="9">
                  <c:v>47537.3533199245</c:v>
                </c:pt>
                <c:pt idx="10">
                  <c:v>56217.7875351593</c:v>
                </c:pt>
                <c:pt idx="11">
                  <c:v>63738.3189771467</c:v>
                </c:pt>
                <c:pt idx="12">
                  <c:v>69568.5876704299</c:v>
                </c:pt>
                <c:pt idx="13">
                  <c:v>73650.6424257955</c:v>
                </c:pt>
                <c:pt idx="14">
                  <c:v>76281.0851626588</c:v>
                </c:pt>
                <c:pt idx="15">
                  <c:v>77876.8012468957</c:v>
                </c:pt>
                <c:pt idx="16">
                  <c:v>78806.883337976</c:v>
                </c:pt>
                <c:pt idx="17">
                  <c:v>79335.778494435</c:v>
                </c:pt>
                <c:pt idx="18">
                  <c:v>79632.1964770167</c:v>
                </c:pt>
                <c:pt idx="19">
                  <c:v>79796.9471155569</c:v>
                </c:pt>
                <c:pt idx="20">
                  <c:v>79888.0889921407</c:v>
                </c:pt>
                <c:pt idx="21">
                  <c:v>79938.3784977629</c:v>
                </c:pt>
                <c:pt idx="22">
                  <c:v>79966.086814466</c:v>
                </c:pt>
                <c:pt idx="23">
                  <c:v>79981.3412786204</c:v>
                </c:pt>
                <c:pt idx="24">
                  <c:v>79989.7357449094</c:v>
                </c:pt>
                <c:pt idx="25">
                  <c:v>79994.3540670787</c:v>
                </c:pt>
                <c:pt idx="26">
                  <c:v>79996.8945575876</c:v>
                </c:pt>
                <c:pt idx="27">
                  <c:v>79998.291952427</c:v>
                </c:pt>
                <c:pt idx="28">
                  <c:v>79999.0605574243</c:v>
                </c:pt>
                <c:pt idx="29">
                  <c:v>79999.483301619</c:v>
                </c:pt>
                <c:pt idx="30">
                  <c:v>79999.7158143887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'Серия 3'!$J$2</c:f>
              <c:strCache>
                <c:ptCount val="1"/>
                <c:pt idx="0">
                  <c:v>K=120000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'Серия 3'!$G$3:$G$33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'Серия 3'!$J$3:$J$33</c:f>
              <c:numCache>
                <c:formatCode>General</c:formatCode>
                <c:ptCount val="31"/>
                <c:pt idx="0">
                  <c:v>3000</c:v>
                </c:pt>
                <c:pt idx="1">
                  <c:v>4316.25</c:v>
                </c:pt>
                <c:pt idx="2">
                  <c:v>6188.69994726563</c:v>
                </c:pt>
                <c:pt idx="3">
                  <c:v>8829.98989714534</c:v>
                </c:pt>
                <c:pt idx="4">
                  <c:v>12511.1026449219</c:v>
                </c:pt>
                <c:pt idx="5">
                  <c:v>17554.1199999176</c:v>
                </c:pt>
                <c:pt idx="6">
                  <c:v>24297.9222662374</c:v>
                </c:pt>
                <c:pt idx="7">
                  <c:v>33018.0284368338</c:v>
                </c:pt>
                <c:pt idx="8">
                  <c:v>43787.9279764506</c:v>
                </c:pt>
                <c:pt idx="9">
                  <c:v>56302.3106790878</c:v>
                </c:pt>
                <c:pt idx="10">
                  <c:v>69751.0372804104</c:v>
                </c:pt>
                <c:pt idx="11">
                  <c:v>82894.4770502455</c:v>
                </c:pt>
                <c:pt idx="12">
                  <c:v>94428.8880024797</c:v>
                </c:pt>
                <c:pt idx="13">
                  <c:v>103483.831768402</c:v>
                </c:pt>
                <c:pt idx="14">
                  <c:v>109893.168173667</c:v>
                </c:pt>
                <c:pt idx="15">
                  <c:v>114058.187309645</c:v>
                </c:pt>
                <c:pt idx="16">
                  <c:v>116599.608752628</c:v>
                </c:pt>
                <c:pt idx="17">
                  <c:v>118086.424836563</c:v>
                </c:pt>
                <c:pt idx="18">
                  <c:v>118933.802022962</c:v>
                </c:pt>
                <c:pt idx="19">
                  <c:v>119409.328194656</c:v>
                </c:pt>
                <c:pt idx="20">
                  <c:v>119673.822157629</c:v>
                </c:pt>
                <c:pt idx="21">
                  <c:v>119820.203216753</c:v>
                </c:pt>
                <c:pt idx="22">
                  <c:v>119900.990543402</c:v>
                </c:pt>
                <c:pt idx="23">
                  <c:v>119945.508038099</c:v>
                </c:pt>
                <c:pt idx="24">
                  <c:v>119970.018285802</c:v>
                </c:pt>
                <c:pt idx="25">
                  <c:v>119983.506686304</c:v>
                </c:pt>
                <c:pt idx="26">
                  <c:v>119990.927657357</c:v>
                </c:pt>
                <c:pt idx="27">
                  <c:v>119995.009902894</c:v>
                </c:pt>
                <c:pt idx="28">
                  <c:v>119997.255353213</c:v>
                </c:pt>
                <c:pt idx="29">
                  <c:v>119998.490416018</c:v>
                </c:pt>
                <c:pt idx="30">
                  <c:v>119999.169720264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318573"/>
        <c:axId val="239871042"/>
      </c:scatterChart>
      <c:valAx>
        <c:axId val="97531857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altLang="en-US"/>
                  <a:t>Месяц </a:t>
                </a:r>
                <a:r>
                  <a:rPr lang="en-US" altLang="ru-RU"/>
                  <a:t>t</a:t>
                </a:r>
                <a:endParaRPr lang="en-US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871042"/>
        <c:crosses val="autoZero"/>
        <c:crossBetween val="midCat"/>
      </c:valAx>
      <c:valAx>
        <c:axId val="2398710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ru-RU"/>
                  <a:t>K</a:t>
                </a:r>
                <a:endParaRPr lang="en-US" alt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531857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38aeeb-1829-4c88-8218-627661eac6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36830</xdr:colOff>
      <xdr:row>4</xdr:row>
      <xdr:rowOff>25400</xdr:rowOff>
    </xdr:from>
    <xdr:to>
      <xdr:col>11</xdr:col>
      <xdr:colOff>27940</xdr:colOff>
      <xdr:row>18</xdr:row>
      <xdr:rowOff>101600</xdr:rowOff>
    </xdr:to>
    <xdr:graphicFrame>
      <xdr:nvGraphicFramePr>
        <xdr:cNvPr id="7" name="Диаграмма 6"/>
        <xdr:cNvGraphicFramePr/>
      </xdr:nvGraphicFramePr>
      <xdr:xfrm>
        <a:off x="4060190" y="787400"/>
        <a:ext cx="425831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12700</xdr:colOff>
      <xdr:row>3</xdr:row>
      <xdr:rowOff>186055</xdr:rowOff>
    </xdr:from>
    <xdr:to>
      <xdr:col>11</xdr:col>
      <xdr:colOff>21590</xdr:colOff>
      <xdr:row>18</xdr:row>
      <xdr:rowOff>71755</xdr:rowOff>
    </xdr:to>
    <xdr:graphicFrame>
      <xdr:nvGraphicFramePr>
        <xdr:cNvPr id="3" name="Диаграмма 2"/>
        <xdr:cNvGraphicFramePr/>
      </xdr:nvGraphicFramePr>
      <xdr:xfrm>
        <a:off x="3885565" y="757555"/>
        <a:ext cx="427609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66675</xdr:colOff>
      <xdr:row>1</xdr:row>
      <xdr:rowOff>69850</xdr:rowOff>
    </xdr:from>
    <xdr:to>
      <xdr:col>22</xdr:col>
      <xdr:colOff>15875</xdr:colOff>
      <xdr:row>15</xdr:row>
      <xdr:rowOff>146050</xdr:rowOff>
    </xdr:to>
    <xdr:graphicFrame>
      <xdr:nvGraphicFramePr>
        <xdr:cNvPr id="2" name="Диаграмма 1"/>
        <xdr:cNvGraphicFramePr/>
      </xdr:nvGraphicFramePr>
      <xdr:xfrm>
        <a:off x="10654665" y="298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165100</xdr:colOff>
      <xdr:row>0</xdr:row>
      <xdr:rowOff>104775</xdr:rowOff>
    </xdr:from>
    <xdr:to>
      <xdr:col>19</xdr:col>
      <xdr:colOff>114935</xdr:colOff>
      <xdr:row>14</xdr:row>
      <xdr:rowOff>142875</xdr:rowOff>
    </xdr:to>
    <xdr:graphicFrame>
      <xdr:nvGraphicFramePr>
        <xdr:cNvPr id="2" name="Диаграмма 1"/>
        <xdr:cNvGraphicFramePr/>
      </xdr:nvGraphicFramePr>
      <xdr:xfrm>
        <a:off x="8092440" y="104775"/>
        <a:ext cx="482663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87630</xdr:colOff>
      <xdr:row>1</xdr:row>
      <xdr:rowOff>20955</xdr:rowOff>
    </xdr:from>
    <xdr:to>
      <xdr:col>18</xdr:col>
      <xdr:colOff>36830</xdr:colOff>
      <xdr:row>15</xdr:row>
      <xdr:rowOff>97155</xdr:rowOff>
    </xdr:to>
    <xdr:graphicFrame>
      <xdr:nvGraphicFramePr>
        <xdr:cNvPr id="2" name="Диаграмма 1"/>
        <xdr:cNvGraphicFramePr/>
      </xdr:nvGraphicFramePr>
      <xdr:xfrm>
        <a:off x="7123430" y="24955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zoomScale="145" zoomScaleNormal="145" topLeftCell="A7" workbookViewId="0">
      <selection activeCell="B7" sqref="B7"/>
    </sheetView>
  </sheetViews>
  <sheetFormatPr defaultColWidth="9.14285714285714" defaultRowHeight="15" outlineLevelCol="4"/>
  <cols>
    <col min="1" max="4" width="15.0857142857143" customWidth="1"/>
  </cols>
  <sheetData>
    <row r="1" spans="1:5">
      <c r="B1">
        <v>0.6</v>
      </c>
    </row>
    <row r="2" spans="1:5">
      <c r="B2" s="19">
        <v>100000</v>
      </c>
    </row>
    <row r="3" spans="1:5">
      <c r="B3">
        <v>5000</v>
      </c>
    </row>
    <row r="5" spans="1:5">
      <c r="A5" t="s">
        <v>0</v>
      </c>
      <c r="B5" s="19" t="s">
        <v>1</v>
      </c>
      <c r="C5" s="19" t="s">
        <v>2</v>
      </c>
      <c r="D5" s="20" t="s">
        <v>3</v>
      </c>
      <c r="E5" s="20"/>
    </row>
    <row r="6" spans="1:5">
      <c r="A6">
        <v>0</v>
      </c>
      <c r="B6" s="19">
        <f>$B$3</f>
        <v>5000</v>
      </c>
    </row>
    <row r="7" spans="1:5">
      <c r="A7" s="19">
        <f>A6+1</f>
        <v>1</v>
      </c>
      <c r="B7">
        <f>B6+$B$1*B6*(1-B6/$B$2)</f>
        <v>7850</v>
      </c>
      <c r="C7">
        <f>B7-B6</f>
        <v>2850</v>
      </c>
      <c r="D7">
        <f>B7/$B$2</f>
        <v>0.0785</v>
      </c>
    </row>
    <row r="8" spans="1:5">
      <c r="A8" s="19">
        <f t="shared" ref="A8:A30" si="0">A7+1</f>
        <v>2</v>
      </c>
      <c r="B8">
        <f t="shared" ref="B8:B30" si="1">B7+$B$1*B7*(1-B7/$B$2)</f>
        <v>12190.265</v>
      </c>
      <c r="C8">
        <f t="shared" ref="C8:C30" si="2">B8-B7</f>
        <v>4340.265</v>
      </c>
      <c r="D8">
        <f t="shared" ref="D8:D30" si="3">B8/$B$2</f>
        <v>0.12190265</v>
      </c>
    </row>
    <row r="9" spans="1:5">
      <c r="A9" s="19">
        <f t="shared" si="0"/>
        <v>3</v>
      </c>
      <c r="B9">
        <f t="shared" si="1"/>
        <v>18612.8086353786</v>
      </c>
      <c r="C9">
        <f t="shared" si="2"/>
        <v>6422.54363537865</v>
      </c>
      <c r="D9">
        <f t="shared" si="3"/>
        <v>0.186128086353786</v>
      </c>
    </row>
    <row r="10" spans="1:5">
      <c r="A10" s="19">
        <f t="shared" si="0"/>
        <v>4</v>
      </c>
      <c r="B10">
        <f t="shared" si="1"/>
        <v>27701.8739448225</v>
      </c>
      <c r="C10">
        <f t="shared" si="2"/>
        <v>9089.06530944383</v>
      </c>
      <c r="D10">
        <f t="shared" si="3"/>
        <v>0.277018739448225</v>
      </c>
    </row>
    <row r="11" spans="1:5">
      <c r="A11" s="19">
        <f t="shared" si="0"/>
        <v>5</v>
      </c>
      <c r="B11">
        <f t="shared" si="1"/>
        <v>39718.635391387</v>
      </c>
      <c r="C11">
        <f t="shared" si="2"/>
        <v>12016.7614465645</v>
      </c>
      <c r="D11">
        <f t="shared" si="3"/>
        <v>0.39718635391387</v>
      </c>
    </row>
    <row r="12" spans="1:5">
      <c r="A12" s="19">
        <f t="shared" si="0"/>
        <v>6</v>
      </c>
      <c r="B12">
        <f t="shared" si="1"/>
        <v>54084.3966420955</v>
      </c>
      <c r="C12">
        <f t="shared" si="2"/>
        <v>14365.7612507086</v>
      </c>
      <c r="D12">
        <f t="shared" si="3"/>
        <v>0.540843966420955</v>
      </c>
    </row>
    <row r="13" spans="1:5">
      <c r="A13" s="19">
        <f t="shared" si="0"/>
        <v>7</v>
      </c>
      <c r="B13">
        <f t="shared" si="1"/>
        <v>68984.3028665157</v>
      </c>
      <c r="C13">
        <f t="shared" si="2"/>
        <v>14899.9062244202</v>
      </c>
      <c r="D13">
        <f t="shared" si="3"/>
        <v>0.689843028665157</v>
      </c>
    </row>
    <row r="14" spans="1:5">
      <c r="A14" s="19">
        <f t="shared" si="0"/>
        <v>8</v>
      </c>
      <c r="B14">
        <f t="shared" si="1"/>
        <v>81821.8803345502</v>
      </c>
      <c r="C14">
        <f t="shared" si="2"/>
        <v>12837.5774680344</v>
      </c>
      <c r="D14">
        <f t="shared" si="3"/>
        <v>0.818218803345502</v>
      </c>
    </row>
    <row r="15" spans="1:5">
      <c r="A15" s="19">
        <f t="shared" si="0"/>
        <v>9</v>
      </c>
      <c r="B15">
        <f t="shared" si="1"/>
        <v>90746.0879263916</v>
      </c>
      <c r="C15">
        <f t="shared" si="2"/>
        <v>8924.20759184142</v>
      </c>
      <c r="D15">
        <f t="shared" si="3"/>
        <v>0.907460879263916</v>
      </c>
    </row>
    <row r="16" spans="1:5">
      <c r="A16" s="19">
        <f t="shared" si="0"/>
        <v>10</v>
      </c>
      <c r="B16">
        <f t="shared" si="1"/>
        <v>95784.6258385602</v>
      </c>
      <c r="C16">
        <f t="shared" si="2"/>
        <v>5038.5379121686</v>
      </c>
      <c r="D16">
        <f t="shared" si="3"/>
        <v>0.957846258385602</v>
      </c>
    </row>
    <row r="17" spans="1:4">
      <c r="A17" s="19">
        <f t="shared" si="0"/>
        <v>11</v>
      </c>
      <c r="B17">
        <f t="shared" si="1"/>
        <v>98207.2340594985</v>
      </c>
      <c r="C17">
        <f t="shared" si="2"/>
        <v>2422.60822093829</v>
      </c>
      <c r="D17">
        <f t="shared" si="3"/>
        <v>0.982072340594985</v>
      </c>
    </row>
    <row r="18" spans="1:4">
      <c r="A18" s="19">
        <f t="shared" si="0"/>
        <v>12</v>
      </c>
      <c r="B18">
        <f t="shared" si="1"/>
        <v>99263.6095654949</v>
      </c>
      <c r="C18">
        <f t="shared" si="2"/>
        <v>1056.37550599639</v>
      </c>
      <c r="D18">
        <f t="shared" si="3"/>
        <v>0.992636095654949</v>
      </c>
    </row>
    <row r="19" spans="1:4">
      <c r="A19" s="19">
        <f t="shared" si="0"/>
        <v>13</v>
      </c>
      <c r="B19">
        <f t="shared" si="1"/>
        <v>99702.1902009658</v>
      </c>
      <c r="C19">
        <f t="shared" si="2"/>
        <v>438.580635470906</v>
      </c>
      <c r="D19">
        <f t="shared" si="3"/>
        <v>0.997021902009658</v>
      </c>
    </row>
    <row r="20" spans="1:4">
      <c r="A20" s="19">
        <f t="shared" si="0"/>
        <v>14</v>
      </c>
      <c r="B20">
        <f t="shared" si="1"/>
        <v>99880.3439363279</v>
      </c>
      <c r="C20">
        <f t="shared" si="2"/>
        <v>178.153735362139</v>
      </c>
      <c r="D20">
        <f t="shared" si="3"/>
        <v>0.998803439363279</v>
      </c>
    </row>
    <row r="21" spans="1:4">
      <c r="A21" s="19">
        <f t="shared" si="0"/>
        <v>15</v>
      </c>
      <c r="B21">
        <f t="shared" si="1"/>
        <v>99952.0516690897</v>
      </c>
      <c r="C21">
        <f t="shared" si="2"/>
        <v>71.7077327618172</v>
      </c>
      <c r="D21">
        <f t="shared" si="3"/>
        <v>0.999520516690897</v>
      </c>
    </row>
    <row r="22" spans="1:4">
      <c r="A22" s="19">
        <f t="shared" si="0"/>
        <v>16</v>
      </c>
      <c r="B22">
        <f t="shared" si="1"/>
        <v>99980.8068733813</v>
      </c>
      <c r="C22">
        <f t="shared" si="2"/>
        <v>28.7552042915486</v>
      </c>
      <c r="D22">
        <f t="shared" si="3"/>
        <v>0.999808068733813</v>
      </c>
    </row>
    <row r="23" spans="1:4">
      <c r="A23" s="19">
        <f t="shared" si="0"/>
        <v>17</v>
      </c>
      <c r="B23">
        <f t="shared" si="1"/>
        <v>99992.3205390958</v>
      </c>
      <c r="C23">
        <f t="shared" si="2"/>
        <v>11.5136657145777</v>
      </c>
      <c r="D23">
        <f t="shared" si="3"/>
        <v>0.999923205390958</v>
      </c>
    </row>
    <row r="24" spans="1:4">
      <c r="A24" s="19">
        <f t="shared" si="0"/>
        <v>18</v>
      </c>
      <c r="B24">
        <f t="shared" si="1"/>
        <v>99996.9278617936</v>
      </c>
      <c r="C24">
        <f t="shared" si="2"/>
        <v>4.60732269777509</v>
      </c>
      <c r="D24">
        <f t="shared" si="3"/>
        <v>0.999969278617936</v>
      </c>
    </row>
    <row r="25" spans="1:4">
      <c r="A25" s="19">
        <f t="shared" si="0"/>
        <v>19</v>
      </c>
      <c r="B25">
        <f t="shared" si="1"/>
        <v>99998.7710880893</v>
      </c>
      <c r="C25">
        <f t="shared" si="2"/>
        <v>1.84322629563394</v>
      </c>
      <c r="D25">
        <f t="shared" si="3"/>
        <v>0.999987710880893</v>
      </c>
    </row>
    <row r="26" spans="1:4">
      <c r="A26" s="19">
        <f t="shared" si="0"/>
        <v>20</v>
      </c>
      <c r="B26">
        <f t="shared" si="1"/>
        <v>99999.5084261744</v>
      </c>
      <c r="C26">
        <f t="shared" si="2"/>
        <v>0.737338085105876</v>
      </c>
      <c r="D26">
        <f t="shared" si="3"/>
        <v>0.999995084261744</v>
      </c>
    </row>
    <row r="27" spans="1:4">
      <c r="A27" s="19">
        <f t="shared" si="0"/>
        <v>21</v>
      </c>
      <c r="B27">
        <f t="shared" si="1"/>
        <v>99999.8033690199</v>
      </c>
      <c r="C27">
        <f t="shared" si="2"/>
        <v>0.294942845517653</v>
      </c>
      <c r="D27">
        <f t="shared" si="3"/>
        <v>0.999998033690199</v>
      </c>
    </row>
    <row r="28" spans="1:4">
      <c r="A28" s="19">
        <f t="shared" si="0"/>
        <v>22</v>
      </c>
      <c r="B28">
        <f t="shared" si="1"/>
        <v>99999.921347376</v>
      </c>
      <c r="C28">
        <f t="shared" si="2"/>
        <v>0.117978356094682</v>
      </c>
      <c r="D28">
        <f t="shared" si="3"/>
        <v>0.99999921347376</v>
      </c>
    </row>
    <row r="29" spans="1:4">
      <c r="A29" s="19">
        <f t="shared" si="0"/>
        <v>23</v>
      </c>
      <c r="B29">
        <f t="shared" si="1"/>
        <v>99999.9685389133</v>
      </c>
      <c r="C29">
        <f t="shared" si="2"/>
        <v>0.047191537290928</v>
      </c>
      <c r="D29">
        <f t="shared" si="3"/>
        <v>0.999999685389133</v>
      </c>
    </row>
    <row r="30" spans="1:4">
      <c r="A30" s="19">
        <f t="shared" si="0"/>
        <v>24</v>
      </c>
      <c r="B30">
        <f t="shared" si="1"/>
        <v>99999.9874155594</v>
      </c>
      <c r="C30">
        <f t="shared" si="2"/>
        <v>0.0188766461069463</v>
      </c>
      <c r="D30">
        <f t="shared" si="3"/>
        <v>0.999999874155594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zoomScale="103" zoomScaleNormal="103" topLeftCell="A4" workbookViewId="0">
      <selection activeCell="E37" sqref="E37"/>
    </sheetView>
  </sheetViews>
  <sheetFormatPr defaultColWidth="9.14285714285714" defaultRowHeight="15" outlineLevelCol="3"/>
  <cols>
    <col min="2" max="2" width="15.3333333333333" customWidth="1"/>
    <col min="3" max="3" width="16.9904761904762" customWidth="1"/>
    <col min="4" max="4" width="16.6190476190476" customWidth="1"/>
  </cols>
  <sheetData>
    <row r="1" spans="1:4">
      <c r="B1">
        <v>0.45</v>
      </c>
    </row>
    <row r="2" spans="1:4">
      <c r="B2">
        <v>80000</v>
      </c>
    </row>
    <row r="3" spans="1:4">
      <c r="B3">
        <v>3000</v>
      </c>
    </row>
    <row r="5" spans="1:4">
      <c r="A5" t="s">
        <v>0</v>
      </c>
      <c r="B5" s="19" t="s">
        <v>1</v>
      </c>
      <c r="C5" s="19" t="s">
        <v>2</v>
      </c>
      <c r="D5" s="20" t="s">
        <v>3</v>
      </c>
    </row>
    <row r="6" spans="1:4">
      <c r="A6">
        <v>0</v>
      </c>
      <c r="B6" s="19">
        <f>$B$3</f>
        <v>3000</v>
      </c>
    </row>
    <row r="7" spans="1:4">
      <c r="A7" s="19">
        <f>A6+1</f>
        <v>1</v>
      </c>
      <c r="B7">
        <f>B6+$B$1*B6*(1-B6/$B$2)</f>
        <v>4299.375</v>
      </c>
      <c r="C7">
        <f>B7-B6</f>
        <v>1299.375</v>
      </c>
      <c r="D7">
        <f>B7/$B$2</f>
        <v>0.0537421875</v>
      </c>
    </row>
    <row r="8" spans="1:4">
      <c r="A8" s="19">
        <f t="shared" ref="A8:A36" si="0">A7+1</f>
        <v>2</v>
      </c>
      <c r="B8">
        <f t="shared" ref="B8:B36" si="1">B7+$B$1*B7*(1-B7/$B$2)</f>
        <v>6130.11773217773</v>
      </c>
      <c r="C8">
        <f t="shared" ref="C8:C36" si="2">B8-B7</f>
        <v>1830.74273217773</v>
      </c>
      <c r="D8">
        <f t="shared" ref="D8:D36" si="3">B8/$B$2</f>
        <v>0.0766264716522217</v>
      </c>
    </row>
    <row r="9" spans="1:4">
      <c r="A9" s="19">
        <f t="shared" si="0"/>
        <v>3</v>
      </c>
      <c r="B9">
        <f t="shared" si="1"/>
        <v>8677.29252997444</v>
      </c>
      <c r="C9">
        <f t="shared" si="2"/>
        <v>2547.17479779671</v>
      </c>
      <c r="D9">
        <f t="shared" si="3"/>
        <v>0.10846615662468</v>
      </c>
    </row>
    <row r="10" spans="1:4">
      <c r="A10" s="19">
        <f t="shared" si="0"/>
        <v>4</v>
      </c>
      <c r="B10">
        <f t="shared" si="1"/>
        <v>12158.5375116775</v>
      </c>
      <c r="C10">
        <f t="shared" si="2"/>
        <v>3481.24498170303</v>
      </c>
      <c r="D10">
        <f t="shared" si="3"/>
        <v>0.151981718895968</v>
      </c>
    </row>
    <row r="11" spans="1:4">
      <c r="A11" s="19">
        <f t="shared" si="0"/>
        <v>5</v>
      </c>
      <c r="B11">
        <f t="shared" si="1"/>
        <v>16798.3354483037</v>
      </c>
      <c r="C11">
        <f t="shared" si="2"/>
        <v>4639.79793662623</v>
      </c>
      <c r="D11">
        <f t="shared" si="3"/>
        <v>0.209979193103796</v>
      </c>
    </row>
    <row r="12" spans="1:4">
      <c r="A12" s="19">
        <f t="shared" si="0"/>
        <v>6</v>
      </c>
      <c r="B12">
        <f t="shared" si="1"/>
        <v>22770.3009847256</v>
      </c>
      <c r="C12">
        <f t="shared" si="2"/>
        <v>5971.9655364219</v>
      </c>
      <c r="D12">
        <f t="shared" si="3"/>
        <v>0.28462876230907</v>
      </c>
    </row>
    <row r="13" spans="1:4">
      <c r="A13" s="19">
        <f t="shared" si="0"/>
        <v>7</v>
      </c>
      <c r="B13">
        <f t="shared" si="1"/>
        <v>30100.4492638428</v>
      </c>
      <c r="C13">
        <f t="shared" si="2"/>
        <v>7330.14827911717</v>
      </c>
      <c r="D13">
        <f t="shared" si="3"/>
        <v>0.376255615798035</v>
      </c>
    </row>
    <row r="14" spans="1:4">
      <c r="A14" s="19">
        <f t="shared" si="0"/>
        <v>8</v>
      </c>
      <c r="B14">
        <f t="shared" si="1"/>
        <v>38549.1930494679</v>
      </c>
      <c r="C14">
        <f t="shared" si="2"/>
        <v>8448.74378562515</v>
      </c>
      <c r="D14">
        <f t="shared" si="3"/>
        <v>0.481864913118349</v>
      </c>
    </row>
    <row r="15" spans="1:4">
      <c r="A15" s="19">
        <f t="shared" si="0"/>
        <v>9</v>
      </c>
      <c r="B15">
        <f t="shared" si="1"/>
        <v>47537.3533199245</v>
      </c>
      <c r="C15">
        <f t="shared" si="2"/>
        <v>8988.16027045662</v>
      </c>
      <c r="D15">
        <f t="shared" si="3"/>
        <v>0.594216916499057</v>
      </c>
    </row>
    <row r="16" spans="1:4">
      <c r="A16" s="19">
        <f t="shared" si="0"/>
        <v>10</v>
      </c>
      <c r="B16">
        <f t="shared" si="1"/>
        <v>56217.7875351593</v>
      </c>
      <c r="C16">
        <f t="shared" si="2"/>
        <v>8680.43421523475</v>
      </c>
      <c r="D16">
        <f t="shared" si="3"/>
        <v>0.702722344189491</v>
      </c>
    </row>
    <row r="17" spans="1:4">
      <c r="A17" s="19">
        <f t="shared" si="0"/>
        <v>11</v>
      </c>
      <c r="B17">
        <f t="shared" si="1"/>
        <v>63738.3189771467</v>
      </c>
      <c r="C17">
        <f t="shared" si="2"/>
        <v>7520.53144198743</v>
      </c>
      <c r="D17">
        <f t="shared" si="3"/>
        <v>0.796728987214334</v>
      </c>
    </row>
    <row r="18" spans="1:4">
      <c r="A18" s="19">
        <f t="shared" si="0"/>
        <v>12</v>
      </c>
      <c r="B18">
        <f t="shared" si="1"/>
        <v>69568.5876704299</v>
      </c>
      <c r="C18">
        <f t="shared" si="2"/>
        <v>5830.2686932832</v>
      </c>
      <c r="D18">
        <f t="shared" si="3"/>
        <v>0.869607345880374</v>
      </c>
    </row>
    <row r="19" spans="1:4">
      <c r="A19" s="19">
        <f t="shared" si="0"/>
        <v>13</v>
      </c>
      <c r="B19">
        <f t="shared" si="1"/>
        <v>73650.6424257955</v>
      </c>
      <c r="C19">
        <f t="shared" si="2"/>
        <v>4082.05475536556</v>
      </c>
      <c r="D19">
        <f t="shared" si="3"/>
        <v>0.920633030322443</v>
      </c>
    </row>
    <row r="20" spans="1:4">
      <c r="A20" s="19">
        <f t="shared" si="0"/>
        <v>14</v>
      </c>
      <c r="B20">
        <f t="shared" si="1"/>
        <v>76281.0851626588</v>
      </c>
      <c r="C20">
        <f t="shared" si="2"/>
        <v>2630.4427368633</v>
      </c>
      <c r="D20">
        <f t="shared" si="3"/>
        <v>0.953513564533235</v>
      </c>
    </row>
    <row r="21" spans="1:4">
      <c r="A21" s="19">
        <f t="shared" si="0"/>
        <v>15</v>
      </c>
      <c r="B21">
        <f t="shared" si="1"/>
        <v>77876.8012468957</v>
      </c>
      <c r="C21">
        <f t="shared" si="2"/>
        <v>1595.71608423695</v>
      </c>
      <c r="D21">
        <f t="shared" si="3"/>
        <v>0.973460015586197</v>
      </c>
    </row>
    <row r="22" spans="1:4">
      <c r="A22" s="19">
        <f t="shared" si="0"/>
        <v>16</v>
      </c>
      <c r="B22">
        <f t="shared" si="1"/>
        <v>78806.883337976</v>
      </c>
      <c r="C22">
        <f t="shared" si="2"/>
        <v>930.082091080258</v>
      </c>
      <c r="D22">
        <f t="shared" si="3"/>
        <v>0.9850860417247</v>
      </c>
    </row>
    <row r="23" spans="1:4">
      <c r="A23" s="19">
        <f t="shared" si="0"/>
        <v>17</v>
      </c>
      <c r="B23">
        <f t="shared" si="1"/>
        <v>79335.778494435</v>
      </c>
      <c r="C23">
        <f t="shared" si="2"/>
        <v>528.895156459053</v>
      </c>
      <c r="D23">
        <f t="shared" si="3"/>
        <v>0.991697231180438</v>
      </c>
    </row>
    <row r="24" spans="1:4">
      <c r="A24" s="19">
        <f t="shared" si="0"/>
        <v>18</v>
      </c>
      <c r="B24">
        <f t="shared" si="1"/>
        <v>79632.1964770167</v>
      </c>
      <c r="C24">
        <f t="shared" si="2"/>
        <v>296.417982581668</v>
      </c>
      <c r="D24">
        <f t="shared" si="3"/>
        <v>0.995402455962709</v>
      </c>
    </row>
    <row r="25" spans="1:4">
      <c r="A25" s="19">
        <f t="shared" si="0"/>
        <v>19</v>
      </c>
      <c r="B25">
        <f t="shared" si="1"/>
        <v>79796.9471155569</v>
      </c>
      <c r="C25">
        <f t="shared" si="2"/>
        <v>164.750638540179</v>
      </c>
      <c r="D25">
        <f t="shared" si="3"/>
        <v>0.997461838944461</v>
      </c>
    </row>
    <row r="26" spans="1:4">
      <c r="A26" s="19">
        <f t="shared" si="0"/>
        <v>20</v>
      </c>
      <c r="B26">
        <f t="shared" si="1"/>
        <v>79888.0889921407</v>
      </c>
      <c r="C26">
        <f t="shared" si="2"/>
        <v>91.1418765838171</v>
      </c>
      <c r="D26">
        <f t="shared" si="3"/>
        <v>0.998601112401759</v>
      </c>
    </row>
    <row r="27" spans="1:4">
      <c r="A27" s="19">
        <f t="shared" si="0"/>
        <v>21</v>
      </c>
      <c r="B27">
        <f t="shared" si="1"/>
        <v>79938.3784977629</v>
      </c>
      <c r="C27">
        <f t="shared" si="2"/>
        <v>50.2895056222333</v>
      </c>
      <c r="D27">
        <f t="shared" si="3"/>
        <v>0.999229731222037</v>
      </c>
    </row>
    <row r="28" spans="1:4">
      <c r="A28" s="19">
        <f t="shared" si="0"/>
        <v>22</v>
      </c>
      <c r="B28">
        <f t="shared" si="1"/>
        <v>79966.086814466</v>
      </c>
      <c r="C28">
        <f t="shared" si="2"/>
        <v>27.7083167030214</v>
      </c>
      <c r="D28">
        <f t="shared" si="3"/>
        <v>0.999576085180825</v>
      </c>
    </row>
    <row r="29" spans="1:4">
      <c r="A29" s="19">
        <f t="shared" si="0"/>
        <v>23</v>
      </c>
      <c r="B29">
        <f t="shared" si="1"/>
        <v>79981.3412786204</v>
      </c>
      <c r="C29">
        <f t="shared" si="2"/>
        <v>15.2544641544519</v>
      </c>
      <c r="D29">
        <f t="shared" si="3"/>
        <v>0.999766765982755</v>
      </c>
    </row>
    <row r="30" spans="1:4">
      <c r="A30" s="19">
        <f t="shared" si="0"/>
        <v>24</v>
      </c>
      <c r="B30">
        <f t="shared" si="1"/>
        <v>79989.7357449094</v>
      </c>
      <c r="C30">
        <f t="shared" si="2"/>
        <v>8.39446628896985</v>
      </c>
      <c r="D30">
        <f t="shared" si="3"/>
        <v>0.999871696811367</v>
      </c>
    </row>
    <row r="31" spans="1:4">
      <c r="A31" s="19">
        <f t="shared" si="0"/>
        <v>25</v>
      </c>
      <c r="B31">
        <f t="shared" si="1"/>
        <v>79994.3540670787</v>
      </c>
      <c r="C31">
        <f t="shared" si="2"/>
        <v>4.61832216927723</v>
      </c>
      <c r="D31">
        <f t="shared" si="3"/>
        <v>0.999929425838483</v>
      </c>
    </row>
    <row r="32" spans="1:4">
      <c r="A32" s="19">
        <f t="shared" si="0"/>
        <v>26</v>
      </c>
      <c r="B32">
        <f t="shared" si="1"/>
        <v>79996.8945575876</v>
      </c>
      <c r="C32">
        <f t="shared" si="2"/>
        <v>2.5404905089672</v>
      </c>
      <c r="D32">
        <f t="shared" si="3"/>
        <v>0.999961181969845</v>
      </c>
    </row>
    <row r="33" spans="1:4">
      <c r="A33" s="19">
        <f t="shared" si="0"/>
        <v>27</v>
      </c>
      <c r="B33">
        <f t="shared" si="1"/>
        <v>79998.291952427</v>
      </c>
      <c r="C33">
        <f t="shared" si="2"/>
        <v>1.39739483935409</v>
      </c>
      <c r="D33">
        <f t="shared" si="3"/>
        <v>0.999978649405337</v>
      </c>
    </row>
    <row r="34" spans="1:4">
      <c r="A34" s="19">
        <f t="shared" si="0"/>
        <v>28</v>
      </c>
      <c r="B34">
        <f t="shared" si="1"/>
        <v>79999.0605574243</v>
      </c>
      <c r="C34">
        <f t="shared" si="2"/>
        <v>0.768604997327202</v>
      </c>
      <c r="D34">
        <f t="shared" si="3"/>
        <v>0.999988256967804</v>
      </c>
    </row>
    <row r="35" spans="1:4">
      <c r="A35" s="19">
        <f t="shared" si="0"/>
        <v>29</v>
      </c>
      <c r="B35">
        <f t="shared" si="1"/>
        <v>79999.483301619</v>
      </c>
      <c r="C35">
        <f t="shared" si="2"/>
        <v>0.422744194700499</v>
      </c>
      <c r="D35">
        <f t="shared" si="3"/>
        <v>0.999993541270238</v>
      </c>
    </row>
    <row r="36" spans="1:4">
      <c r="A36" s="19">
        <f t="shared" si="0"/>
        <v>30</v>
      </c>
      <c r="B36">
        <f t="shared" si="1"/>
        <v>79999.7158143887</v>
      </c>
      <c r="C36">
        <f t="shared" si="2"/>
        <v>0.232512769696768</v>
      </c>
      <c r="D36">
        <f t="shared" si="3"/>
        <v>0.999996447679859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175" zoomScaleNormal="175" workbookViewId="0">
      <selection activeCell="F20" sqref="F20"/>
    </sheetView>
  </sheetViews>
  <sheetFormatPr defaultColWidth="9.14285714285714" defaultRowHeight="15"/>
  <cols>
    <col min="6" max="6" width="11.7238095238095" customWidth="1"/>
    <col min="7" max="7" width="29.247619047619" customWidth="1"/>
    <col min="8" max="8" width="10.6" customWidth="1"/>
    <col min="9" max="9" width="18.2666666666667" customWidth="1"/>
  </cols>
  <sheetData>
    <row r="1" ht="18.75" spans="1:9">
      <c r="A1" s="5" t="s">
        <v>4</v>
      </c>
      <c r="B1" s="6" t="s">
        <v>5</v>
      </c>
      <c r="C1" s="6" t="s">
        <v>6</v>
      </c>
      <c r="D1" s="6" t="s">
        <v>7</v>
      </c>
      <c r="E1" s="7" t="s">
        <v>8</v>
      </c>
      <c r="F1" s="7" t="s">
        <v>9</v>
      </c>
      <c r="G1" s="6" t="s">
        <v>10</v>
      </c>
      <c r="H1" s="6" t="s">
        <v>11</v>
      </c>
      <c r="I1" s="8" t="s">
        <v>12</v>
      </c>
    </row>
    <row r="2" spans="1:9">
      <c r="A2" s="9">
        <v>1</v>
      </c>
      <c r="B2" s="10">
        <v>1</v>
      </c>
      <c r="C2" s="10">
        <v>0.15</v>
      </c>
      <c r="D2" s="11">
        <v>80000</v>
      </c>
      <c r="E2" s="11">
        <v>3000</v>
      </c>
      <c r="F2" s="10">
        <v>42</v>
      </c>
      <c r="G2" s="10" t="s">
        <v>13</v>
      </c>
      <c r="H2" s="10" t="s">
        <v>14</v>
      </c>
      <c r="I2" s="12" t="s">
        <v>15</v>
      </c>
    </row>
    <row r="3" spans="1:9">
      <c r="A3" s="9">
        <v>2</v>
      </c>
      <c r="B3" s="10">
        <v>1</v>
      </c>
      <c r="C3" s="10">
        <v>0.3</v>
      </c>
      <c r="D3" s="11">
        <v>80000</v>
      </c>
      <c r="E3" s="11">
        <v>3000</v>
      </c>
      <c r="F3" s="10">
        <v>24</v>
      </c>
      <c r="G3" s="10" t="s">
        <v>13</v>
      </c>
      <c r="H3" s="10" t="s">
        <v>14</v>
      </c>
      <c r="I3" s="12" t="s">
        <v>16</v>
      </c>
    </row>
    <row r="4" spans="1:9">
      <c r="A4" s="9">
        <v>3</v>
      </c>
      <c r="B4" s="10">
        <v>1</v>
      </c>
      <c r="C4" s="10">
        <v>0.45</v>
      </c>
      <c r="D4" s="11">
        <v>80000</v>
      </c>
      <c r="E4" s="11">
        <v>3000</v>
      </c>
      <c r="F4" s="10">
        <v>14</v>
      </c>
      <c r="G4" s="10" t="s">
        <v>13</v>
      </c>
      <c r="H4" s="10" t="s">
        <v>14</v>
      </c>
      <c r="I4" s="12" t="s">
        <v>17</v>
      </c>
    </row>
    <row r="5" spans="1:9">
      <c r="A5" s="9">
        <v>4</v>
      </c>
      <c r="B5" s="10">
        <v>1</v>
      </c>
      <c r="C5" s="10">
        <v>0.6</v>
      </c>
      <c r="D5" s="11">
        <v>80000</v>
      </c>
      <c r="E5" s="11">
        <v>3000</v>
      </c>
      <c r="F5" s="10">
        <v>11</v>
      </c>
      <c r="G5" s="10" t="s">
        <v>13</v>
      </c>
      <c r="H5" s="10" t="s">
        <v>14</v>
      </c>
      <c r="I5" s="12" t="s">
        <v>18</v>
      </c>
    </row>
    <row r="6" spans="1:9">
      <c r="A6" s="9">
        <v>5</v>
      </c>
      <c r="B6" s="10">
        <v>1</v>
      </c>
      <c r="C6" s="10">
        <v>0.75</v>
      </c>
      <c r="D6" s="11">
        <v>80000</v>
      </c>
      <c r="E6" s="11">
        <v>3000</v>
      </c>
      <c r="F6" s="10">
        <v>9</v>
      </c>
      <c r="G6" s="10" t="s">
        <v>13</v>
      </c>
      <c r="H6" s="10" t="s">
        <v>14</v>
      </c>
      <c r="I6" s="12" t="s">
        <v>18</v>
      </c>
    </row>
    <row r="7" spans="1:9">
      <c r="A7" s="9">
        <v>6</v>
      </c>
      <c r="B7" s="10">
        <v>1</v>
      </c>
      <c r="C7" s="10">
        <v>0.9</v>
      </c>
      <c r="D7" s="11">
        <v>80000</v>
      </c>
      <c r="E7" s="11">
        <v>3000</v>
      </c>
      <c r="F7" s="10">
        <v>7</v>
      </c>
      <c r="G7" s="10" t="s">
        <v>13</v>
      </c>
      <c r="H7" s="10" t="s">
        <v>14</v>
      </c>
      <c r="I7" s="12" t="s">
        <v>18</v>
      </c>
    </row>
    <row r="8" spans="1:9">
      <c r="A8" s="9">
        <v>7</v>
      </c>
      <c r="B8" s="10">
        <v>1</v>
      </c>
      <c r="C8" s="13" t="s">
        <v>19</v>
      </c>
      <c r="D8" s="11">
        <v>80000</v>
      </c>
      <c r="E8" s="11">
        <v>3000</v>
      </c>
      <c r="F8" s="10">
        <v>6</v>
      </c>
      <c r="G8" s="10" t="s">
        <v>20</v>
      </c>
      <c r="H8" s="10" t="s">
        <v>21</v>
      </c>
      <c r="I8" s="12" t="s">
        <v>18</v>
      </c>
    </row>
    <row r="9" spans="1:9">
      <c r="A9" s="9">
        <v>8</v>
      </c>
      <c r="B9" s="10">
        <v>2</v>
      </c>
      <c r="C9" s="10">
        <v>0.45</v>
      </c>
      <c r="D9" s="11">
        <v>80000</v>
      </c>
      <c r="E9" s="11">
        <v>500</v>
      </c>
      <c r="F9" s="10">
        <v>19</v>
      </c>
      <c r="G9" s="10" t="s">
        <v>13</v>
      </c>
      <c r="H9" s="10" t="s">
        <v>14</v>
      </c>
      <c r="I9" s="12" t="s">
        <v>22</v>
      </c>
    </row>
    <row r="10" spans="1:9">
      <c r="A10" s="9">
        <v>9</v>
      </c>
      <c r="B10" s="10">
        <v>2</v>
      </c>
      <c r="C10" s="10">
        <v>0.45</v>
      </c>
      <c r="D10" s="11">
        <v>80000</v>
      </c>
      <c r="E10" s="11">
        <v>3000</v>
      </c>
      <c r="F10" s="10">
        <v>14</v>
      </c>
      <c r="G10" s="10" t="s">
        <v>13</v>
      </c>
      <c r="H10" s="10" t="s">
        <v>14</v>
      </c>
      <c r="I10" s="12" t="s">
        <v>17</v>
      </c>
    </row>
    <row r="11" spans="1:9">
      <c r="A11" s="9">
        <v>10</v>
      </c>
      <c r="B11" s="10">
        <v>2</v>
      </c>
      <c r="C11" s="10">
        <v>0.45</v>
      </c>
      <c r="D11" s="11">
        <v>80000</v>
      </c>
      <c r="E11" s="11">
        <v>10000</v>
      </c>
      <c r="F11" s="10">
        <v>11</v>
      </c>
      <c r="G11" s="10" t="s">
        <v>13</v>
      </c>
      <c r="H11" s="10" t="s">
        <v>14</v>
      </c>
      <c r="I11" s="12" t="s">
        <v>23</v>
      </c>
    </row>
    <row r="12" spans="1:9">
      <c r="A12" s="9">
        <v>11</v>
      </c>
      <c r="B12" s="10">
        <v>2</v>
      </c>
      <c r="C12" s="10">
        <v>0.45</v>
      </c>
      <c r="D12" s="11">
        <v>80000</v>
      </c>
      <c r="E12" s="11">
        <v>100000</v>
      </c>
      <c r="F12" s="14" t="s">
        <v>24</v>
      </c>
      <c r="G12" s="10" t="s">
        <v>20</v>
      </c>
      <c r="H12" s="10" t="s">
        <v>14</v>
      </c>
      <c r="I12" s="12" t="s">
        <v>18</v>
      </c>
    </row>
    <row r="13" spans="1:9">
      <c r="A13" s="9">
        <v>12</v>
      </c>
      <c r="B13" s="10">
        <v>3</v>
      </c>
      <c r="C13" s="10">
        <v>0.45</v>
      </c>
      <c r="D13" s="11">
        <v>60000</v>
      </c>
      <c r="E13" s="11">
        <v>3000</v>
      </c>
      <c r="F13" s="10">
        <v>14</v>
      </c>
      <c r="G13" s="10" t="s">
        <v>13</v>
      </c>
      <c r="H13" s="10" t="s">
        <v>14</v>
      </c>
      <c r="I13" s="12" t="s">
        <v>25</v>
      </c>
    </row>
    <row r="14" spans="1:9">
      <c r="A14" s="9">
        <v>13</v>
      </c>
      <c r="B14" s="10">
        <v>3</v>
      </c>
      <c r="C14" s="10">
        <v>0.45</v>
      </c>
      <c r="D14" s="11">
        <v>80000</v>
      </c>
      <c r="E14" s="11">
        <v>3000</v>
      </c>
      <c r="F14" s="10">
        <v>14</v>
      </c>
      <c r="G14" s="10" t="s">
        <v>13</v>
      </c>
      <c r="H14" s="10" t="s">
        <v>14</v>
      </c>
      <c r="I14" s="12" t="s">
        <v>17</v>
      </c>
    </row>
    <row r="15" ht="15.75" spans="1:9">
      <c r="A15" s="15">
        <v>14</v>
      </c>
      <c r="B15" s="16">
        <v>3</v>
      </c>
      <c r="C15" s="16">
        <v>0.45</v>
      </c>
      <c r="D15" s="17">
        <v>120000</v>
      </c>
      <c r="E15" s="17">
        <v>3000</v>
      </c>
      <c r="F15" s="16">
        <v>15</v>
      </c>
      <c r="G15" s="16" t="s">
        <v>13</v>
      </c>
      <c r="H15" s="16" t="s">
        <v>14</v>
      </c>
      <c r="I15" s="18" t="s">
        <v>26</v>
      </c>
    </row>
    <row r="16" ht="15.75"/>
  </sheetData>
  <pageMargins left="0.75" right="0.75" top="1" bottom="1" header="0.5" footer="0.5"/>
  <headerFooter/>
  <ignoredErrors>
    <ignoredError sqref="C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topLeftCell="A3" workbookViewId="0">
      <selection activeCell="H3" sqref="H3"/>
    </sheetView>
  </sheetViews>
  <sheetFormatPr defaultColWidth="9.14285714285714" defaultRowHeight="15"/>
  <cols>
    <col min="2" max="2" width="10" customWidth="1"/>
    <col min="3" max="3" width="10.8571428571429" customWidth="1"/>
    <col min="4" max="4" width="10.5714285714286" customWidth="1"/>
    <col min="5" max="5" width="10.4285714285714" customWidth="1"/>
    <col min="7" max="7" width="10.9809523809524" customWidth="1"/>
    <col min="8" max="8" width="10.5333333333333" customWidth="1"/>
    <col min="9" max="14" width="12.8571428571429"/>
  </cols>
  <sheetData>
    <row r="1" ht="18" spans="1:14">
      <c r="A1" t="s">
        <v>6</v>
      </c>
      <c r="B1" t="s">
        <v>7</v>
      </c>
      <c r="C1" s="1" t="s">
        <v>8</v>
      </c>
      <c r="D1" s="1" t="s">
        <v>9</v>
      </c>
      <c r="E1" t="s">
        <v>12</v>
      </c>
    </row>
    <row r="2" spans="1:14">
      <c r="A2">
        <v>0.15</v>
      </c>
      <c r="B2" s="2">
        <v>80000</v>
      </c>
      <c r="C2" s="2">
        <v>3000</v>
      </c>
      <c r="D2">
        <v>42</v>
      </c>
      <c r="E2" t="s">
        <v>15</v>
      </c>
      <c r="G2" t="s">
        <v>0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</row>
    <row r="3" spans="1:14">
      <c r="A3">
        <v>0.3</v>
      </c>
      <c r="B3" s="2">
        <v>80000</v>
      </c>
      <c r="C3" s="2">
        <v>3000</v>
      </c>
      <c r="D3">
        <v>24</v>
      </c>
      <c r="E3" t="s">
        <v>16</v>
      </c>
      <c r="G3">
        <v>0</v>
      </c>
      <c r="H3">
        <v>3000</v>
      </c>
      <c r="I3">
        <v>3000</v>
      </c>
      <c r="J3">
        <v>3000</v>
      </c>
      <c r="K3">
        <v>3000</v>
      </c>
      <c r="L3">
        <v>3000</v>
      </c>
      <c r="M3">
        <v>3000</v>
      </c>
      <c r="N3">
        <v>3000</v>
      </c>
    </row>
    <row r="4" spans="1:14">
      <c r="A4">
        <v>0.45</v>
      </c>
      <c r="B4" s="2">
        <v>80000</v>
      </c>
      <c r="C4" s="2">
        <v>3000</v>
      </c>
      <c r="D4">
        <v>14</v>
      </c>
      <c r="E4" t="s">
        <v>17</v>
      </c>
      <c r="G4">
        <f>G3+1</f>
        <v>1</v>
      </c>
      <c r="H4">
        <f>H3+0.15*H3*(1-H3/80000)</f>
        <v>3433.125</v>
      </c>
      <c r="I4">
        <f>I3+0.3*I3*(1-I3/80000)</f>
        <v>3866.25</v>
      </c>
      <c r="J4">
        <f>J3+0.45*J3*(1-J3/80000)</f>
        <v>4299.375</v>
      </c>
      <c r="K4">
        <f>K3+0.6*K3*(1-K3/80000)</f>
        <v>4732.5</v>
      </c>
      <c r="L4">
        <f>L3+0.75*L3*(1-L3/80000)</f>
        <v>5165.625</v>
      </c>
      <c r="M4">
        <f>M3+0.9*M3*(1-M3/80000)</f>
        <v>5598.75</v>
      </c>
      <c r="N4">
        <f>N3+1.2*N3*(1-N3/80000)</f>
        <v>6465</v>
      </c>
    </row>
    <row r="5" spans="1:14">
      <c r="A5">
        <v>0.6</v>
      </c>
      <c r="B5" s="2">
        <v>80000</v>
      </c>
      <c r="C5" s="2">
        <v>3000</v>
      </c>
      <c r="D5">
        <v>11</v>
      </c>
      <c r="E5" t="s">
        <v>18</v>
      </c>
      <c r="G5">
        <f t="shared" ref="G5:G33" si="0">G4+1</f>
        <v>2</v>
      </c>
      <c r="H5">
        <f t="shared" ref="H5:H33" si="1">H4+0.15*H4*(1-H4/80000)</f>
        <v>3925.99434887695</v>
      </c>
      <c r="I5">
        <f t="shared" ref="I5:I33" si="2">I4+0.3*I4*(1-I4/80000)</f>
        <v>4970.07041601562</v>
      </c>
      <c r="J5">
        <f t="shared" ref="J5:J33" si="3">J4+0.45*J4*(1-J4/80000)</f>
        <v>6130.11773217773</v>
      </c>
      <c r="K5">
        <f t="shared" ref="K5:K33" si="4">K4+0.6*K4*(1-K4/80000)</f>
        <v>7404.025828125</v>
      </c>
      <c r="L5">
        <f t="shared" ref="L5:L33" si="5">L4+0.75*L4*(1-L4/80000)</f>
        <v>8789.68423461914</v>
      </c>
      <c r="M5">
        <f t="shared" ref="M5:M33" si="6">M4+0.9*M4*(1-M4/80000)</f>
        <v>10284.9824824219</v>
      </c>
      <c r="N5">
        <f t="shared" ref="N5:N33" si="7">N4+1.2*N4*(1-N4/80000)</f>
        <v>13596.056625</v>
      </c>
    </row>
    <row r="6" spans="1:14">
      <c r="A6">
        <v>0.75</v>
      </c>
      <c r="B6" s="2">
        <v>80000</v>
      </c>
      <c r="C6" s="2">
        <v>3000</v>
      </c>
      <c r="D6">
        <v>9</v>
      </c>
      <c r="E6" t="s">
        <v>18</v>
      </c>
      <c r="G6">
        <f t="shared" si="0"/>
        <v>3</v>
      </c>
      <c r="H6">
        <f t="shared" si="1"/>
        <v>4485.9933169071</v>
      </c>
      <c r="I6">
        <f t="shared" si="2"/>
        <v>6368.46054104474</v>
      </c>
      <c r="J6">
        <f t="shared" si="3"/>
        <v>8677.29252997444</v>
      </c>
      <c r="K6">
        <f t="shared" si="4"/>
        <v>11435.2943365234</v>
      </c>
      <c r="L6">
        <f t="shared" si="5"/>
        <v>14657.6485142306</v>
      </c>
      <c r="M6">
        <f t="shared" si="6"/>
        <v>18351.4319891347</v>
      </c>
      <c r="N6">
        <f t="shared" si="7"/>
        <v>27138.5332387469</v>
      </c>
    </row>
    <row r="7" spans="1:14">
      <c r="A7">
        <v>0.9</v>
      </c>
      <c r="B7" s="2">
        <v>80000</v>
      </c>
      <c r="C7" s="2">
        <v>3000</v>
      </c>
      <c r="D7">
        <v>7</v>
      </c>
      <c r="E7" t="s">
        <v>18</v>
      </c>
      <c r="G7">
        <f t="shared" si="0"/>
        <v>4</v>
      </c>
      <c r="H7">
        <f t="shared" si="1"/>
        <v>5121.15955936941</v>
      </c>
      <c r="I7">
        <f t="shared" si="2"/>
        <v>8126.90886712249</v>
      </c>
      <c r="J7">
        <f t="shared" si="3"/>
        <v>12158.5375116775</v>
      </c>
      <c r="K7">
        <f t="shared" si="4"/>
        <v>17315.7262642156</v>
      </c>
      <c r="L7">
        <f t="shared" si="5"/>
        <v>23636.6974627154</v>
      </c>
      <c r="M7">
        <f t="shared" si="6"/>
        <v>31079.0013987727</v>
      </c>
      <c r="N7">
        <f t="shared" si="7"/>
        <v>48657.2733299846</v>
      </c>
    </row>
    <row r="8" spans="1:14">
      <c r="A8" s="4" t="s">
        <v>19</v>
      </c>
      <c r="B8" s="2">
        <v>80000</v>
      </c>
      <c r="C8" s="2">
        <v>3000</v>
      </c>
      <c r="D8">
        <v>6</v>
      </c>
      <c r="E8" t="s">
        <v>18</v>
      </c>
      <c r="G8">
        <f t="shared" si="0"/>
        <v>5</v>
      </c>
      <c r="H8">
        <f t="shared" si="1"/>
        <v>5840.15922721384</v>
      </c>
      <c r="I8">
        <f t="shared" si="2"/>
        <v>10317.3065982548</v>
      </c>
      <c r="J8">
        <f t="shared" si="3"/>
        <v>16798.3354483037</v>
      </c>
      <c r="K8">
        <f t="shared" si="4"/>
        <v>25456.4042023156</v>
      </c>
      <c r="L8">
        <f t="shared" si="5"/>
        <v>36126.4693071526</v>
      </c>
      <c r="M8">
        <f t="shared" si="6"/>
        <v>48183.6789682878</v>
      </c>
      <c r="N8">
        <f t="shared" si="7"/>
        <v>71533.0476073337</v>
      </c>
    </row>
    <row r="9" spans="1:14">
      <c r="G9">
        <f t="shared" si="0"/>
        <v>6</v>
      </c>
      <c r="H9">
        <f t="shared" si="1"/>
        <v>6652.2316241724</v>
      </c>
      <c r="I9">
        <f t="shared" si="2"/>
        <v>13013.3230198223</v>
      </c>
      <c r="J9">
        <f t="shared" si="3"/>
        <v>22770.3009847256</v>
      </c>
      <c r="K9">
        <f t="shared" si="4"/>
        <v>35870.0328618674</v>
      </c>
      <c r="L9">
        <f t="shared" si="5"/>
        <v>50985.8045568861</v>
      </c>
      <c r="M9">
        <f t="shared" si="6"/>
        <v>65430.2372019079</v>
      </c>
      <c r="N9">
        <f t="shared" si="7"/>
        <v>80618.0512362381</v>
      </c>
    </row>
    <row r="10" spans="1:14">
      <c r="G10">
        <f t="shared" si="0"/>
        <v>7</v>
      </c>
      <c r="H10">
        <f t="shared" si="1"/>
        <v>7567.09351983268</v>
      </c>
      <c r="I10">
        <f t="shared" si="2"/>
        <v>16282.2702657006</v>
      </c>
      <c r="J10">
        <f t="shared" si="3"/>
        <v>30100.4492638428</v>
      </c>
      <c r="K10">
        <f t="shared" si="4"/>
        <v>47742.108147652</v>
      </c>
      <c r="L10">
        <f t="shared" si="5"/>
        <v>64854.3554778664</v>
      </c>
      <c r="M10">
        <f t="shared" si="6"/>
        <v>76154.8963552733</v>
      </c>
      <c r="N10">
        <f t="shared" si="7"/>
        <v>79870.6599427932</v>
      </c>
    </row>
    <row r="11" spans="1:14">
      <c r="G11">
        <f t="shared" si="0"/>
        <v>8</v>
      </c>
      <c r="H11">
        <f t="shared" si="1"/>
        <v>8594.79335217403</v>
      </c>
      <c r="I11">
        <f t="shared" si="2"/>
        <v>20172.7801266408</v>
      </c>
      <c r="J11">
        <f t="shared" si="3"/>
        <v>38549.1930494679</v>
      </c>
      <c r="K11">
        <f t="shared" si="4"/>
        <v>59292.5563583774</v>
      </c>
      <c r="L11">
        <f t="shared" si="5"/>
        <v>74063.0524820525</v>
      </c>
      <c r="M11">
        <f t="shared" si="6"/>
        <v>79449.1603875921</v>
      </c>
      <c r="N11">
        <f t="shared" si="7"/>
        <v>80025.6170786854</v>
      </c>
    </row>
    <row r="12" spans="1:14">
      <c r="G12">
        <f t="shared" si="0"/>
        <v>9</v>
      </c>
      <c r="H12">
        <f t="shared" si="1"/>
        <v>9745.50521856281</v>
      </c>
      <c r="I12">
        <f t="shared" si="2"/>
        <v>24698.5851969913</v>
      </c>
      <c r="J12">
        <f t="shared" si="3"/>
        <v>47537.3533199245</v>
      </c>
      <c r="K12">
        <f t="shared" si="4"/>
        <v>68501.0358770687</v>
      </c>
      <c r="L12">
        <f t="shared" si="5"/>
        <v>78185.3192533488</v>
      </c>
      <c r="M12">
        <f t="shared" si="6"/>
        <v>79941.502515625</v>
      </c>
      <c r="N12">
        <f t="shared" si="7"/>
        <v>79994.8667407421</v>
      </c>
    </row>
    <row r="13" spans="1:14">
      <c r="G13">
        <f t="shared" si="0"/>
        <v>10</v>
      </c>
      <c r="H13">
        <f t="shared" si="1"/>
        <v>11029.2531164128</v>
      </c>
      <c r="I13">
        <f t="shared" si="2"/>
        <v>29820.5853408398</v>
      </c>
      <c r="J13">
        <f t="shared" si="3"/>
        <v>56217.7875351593</v>
      </c>
      <c r="K13">
        <f t="shared" si="4"/>
        <v>74408.718031574</v>
      </c>
      <c r="L13">
        <f t="shared" si="5"/>
        <v>79515.4573175972</v>
      </c>
      <c r="M13">
        <f t="shared" si="6"/>
        <v>79994.1117545611</v>
      </c>
      <c r="N13">
        <f t="shared" si="7"/>
        <v>80001.0262565963</v>
      </c>
    </row>
    <row r="14" spans="1:14">
      <c r="G14">
        <f t="shared" si="0"/>
        <v>11</v>
      </c>
      <c r="H14">
        <f t="shared" si="1"/>
        <v>12455.5577883011</v>
      </c>
      <c r="I14">
        <f t="shared" si="2"/>
        <v>35432.0085303281</v>
      </c>
      <c r="J14">
        <f t="shared" si="3"/>
        <v>63738.3189771467</v>
      </c>
      <c r="K14">
        <f t="shared" si="4"/>
        <v>77529.0189572513</v>
      </c>
      <c r="L14">
        <f t="shared" si="5"/>
        <v>79876.6632517955</v>
      </c>
      <c r="M14">
        <f t="shared" si="6"/>
        <v>79999.4107854025</v>
      </c>
      <c r="N14">
        <f t="shared" si="7"/>
        <v>79999.7947328827</v>
      </c>
    </row>
    <row r="15" spans="1:14">
      <c r="G15">
        <f t="shared" si="0"/>
        <v>12</v>
      </c>
      <c r="H15">
        <f t="shared" si="1"/>
        <v>14033.0022318881</v>
      </c>
      <c r="I15">
        <f t="shared" si="2"/>
        <v>41353.7589825769</v>
      </c>
      <c r="J15">
        <f t="shared" si="3"/>
        <v>69568.5876704299</v>
      </c>
      <c r="K15">
        <f t="shared" si="4"/>
        <v>78965.8144780483</v>
      </c>
      <c r="L15">
        <f t="shared" si="5"/>
        <v>79969.0232008852</v>
      </c>
      <c r="M15">
        <f t="shared" si="6"/>
        <v>79999.9410746345</v>
      </c>
      <c r="N15">
        <f t="shared" si="7"/>
        <v>80000.0410527914</v>
      </c>
    </row>
    <row r="16" spans="1:14">
      <c r="G16">
        <f t="shared" si="0"/>
        <v>13</v>
      </c>
      <c r="H16">
        <f t="shared" si="1"/>
        <v>15768.717907346</v>
      </c>
      <c r="I16">
        <f t="shared" si="2"/>
        <v>47346.886494891</v>
      </c>
      <c r="J16">
        <f t="shared" si="3"/>
        <v>73650.6424257955</v>
      </c>
      <c r="K16">
        <f t="shared" si="4"/>
        <v>79578.3042435157</v>
      </c>
      <c r="L16">
        <f t="shared" si="5"/>
        <v>79992.2468043268</v>
      </c>
      <c r="M16">
        <f t="shared" si="6"/>
        <v>79999.9941074244</v>
      </c>
      <c r="N16">
        <f t="shared" si="7"/>
        <v>79999.9917894164</v>
      </c>
    </row>
    <row r="17" spans="7:14">
      <c r="G17">
        <f t="shared" si="0"/>
        <v>14</v>
      </c>
      <c r="H17">
        <f t="shared" si="1"/>
        <v>17667.8022226202</v>
      </c>
      <c r="I17">
        <f t="shared" si="2"/>
        <v>53144.4737155079</v>
      </c>
      <c r="J17">
        <f t="shared" si="3"/>
        <v>76281.0851626588</v>
      </c>
      <c r="K17">
        <f t="shared" si="4"/>
        <v>79829.9879925735</v>
      </c>
      <c r="L17">
        <f t="shared" si="5"/>
        <v>79998.0611375313</v>
      </c>
      <c r="M17">
        <f t="shared" si="6"/>
        <v>79999.999410742</v>
      </c>
      <c r="N17">
        <f t="shared" si="7"/>
        <v>80000.0016421157</v>
      </c>
    </row>
    <row r="18" spans="7:14">
      <c r="G18">
        <f t="shared" si="0"/>
        <v>15</v>
      </c>
      <c r="H18">
        <f t="shared" si="1"/>
        <v>19732.6889896802</v>
      </c>
      <c r="I18">
        <f t="shared" si="2"/>
        <v>58496.5592557916</v>
      </c>
      <c r="J18">
        <f t="shared" si="3"/>
        <v>77876.8012468957</v>
      </c>
      <c r="K18">
        <f t="shared" si="4"/>
        <v>79931.7784164094</v>
      </c>
      <c r="L18">
        <f t="shared" si="5"/>
        <v>79999.5152491404</v>
      </c>
      <c r="M18">
        <f t="shared" si="6"/>
        <v>79999.9999410742</v>
      </c>
      <c r="N18">
        <f t="shared" si="7"/>
        <v>79999.9996715768</v>
      </c>
    </row>
    <row r="19" spans="7:14">
      <c r="G19">
        <f t="shared" si="0"/>
        <v>16</v>
      </c>
      <c r="H19">
        <f t="shared" si="1"/>
        <v>21962.5066854507</v>
      </c>
      <c r="I19">
        <f t="shared" si="2"/>
        <v>63213.5991146553</v>
      </c>
      <c r="J19">
        <f t="shared" si="3"/>
        <v>78806.883337976</v>
      </c>
      <c r="K19">
        <f t="shared" si="4"/>
        <v>79972.6764601802</v>
      </c>
      <c r="L19">
        <f t="shared" si="5"/>
        <v>79999.8788100821</v>
      </c>
      <c r="M19">
        <f t="shared" si="6"/>
        <v>79999.9999941074</v>
      </c>
      <c r="N19">
        <f t="shared" si="7"/>
        <v>80000.0000656846</v>
      </c>
    </row>
    <row r="20" spans="7:14">
      <c r="G20">
        <f t="shared" si="0"/>
        <v>17</v>
      </c>
      <c r="H20">
        <f t="shared" si="1"/>
        <v>24352.47325094</v>
      </c>
      <c r="I20">
        <f t="shared" si="2"/>
        <v>67192.8321751956</v>
      </c>
      <c r="J20">
        <f t="shared" si="3"/>
        <v>79335.778494435</v>
      </c>
      <c r="K20">
        <f t="shared" si="4"/>
        <v>79989.0649847534</v>
      </c>
      <c r="L20">
        <f t="shared" si="5"/>
        <v>79999.9697023828</v>
      </c>
      <c r="M20">
        <f t="shared" si="6"/>
        <v>79999.9999994107</v>
      </c>
      <c r="N20">
        <f t="shared" si="7"/>
        <v>79999.9999868631</v>
      </c>
    </row>
    <row r="21" spans="7:14">
      <c r="G21">
        <f t="shared" si="0"/>
        <v>18</v>
      </c>
      <c r="H21">
        <f t="shared" si="1"/>
        <v>26893.3887008852</v>
      </c>
      <c r="I21">
        <f t="shared" si="2"/>
        <v>70419.8942187893</v>
      </c>
      <c r="J21">
        <f t="shared" si="3"/>
        <v>79632.1964770167</v>
      </c>
      <c r="K21">
        <f t="shared" si="4"/>
        <v>79995.6250970922</v>
      </c>
      <c r="L21">
        <f t="shared" si="5"/>
        <v>79999.9924255871</v>
      </c>
      <c r="M21">
        <f t="shared" si="6"/>
        <v>79999.9999999411</v>
      </c>
      <c r="N21">
        <f t="shared" si="7"/>
        <v>80000.0000026274</v>
      </c>
    </row>
    <row r="22" spans="7:14">
      <c r="G22">
        <f t="shared" si="0"/>
        <v>19</v>
      </c>
      <c r="H22">
        <f t="shared" si="1"/>
        <v>29571.2950888613</v>
      </c>
      <c r="I22">
        <f t="shared" si="2"/>
        <v>72949.7568527306</v>
      </c>
      <c r="J22">
        <f t="shared" si="3"/>
        <v>79796.9471155569</v>
      </c>
      <c r="K22">
        <f t="shared" si="4"/>
        <v>79998.2498952886</v>
      </c>
      <c r="L22">
        <f t="shared" si="5"/>
        <v>79999.9981063962</v>
      </c>
      <c r="M22">
        <f t="shared" si="6"/>
        <v>79999.9999999941</v>
      </c>
      <c r="N22">
        <f t="shared" si="7"/>
        <v>79999.9999994745</v>
      </c>
    </row>
    <row r="23" spans="7:14">
      <c r="G23">
        <f t="shared" si="0"/>
        <v>20</v>
      </c>
      <c r="H23">
        <f t="shared" si="1"/>
        <v>32367.3740523795</v>
      </c>
      <c r="I23">
        <f t="shared" si="2"/>
        <v>74878.4325652778</v>
      </c>
      <c r="J23">
        <f t="shared" si="3"/>
        <v>79888.0889921407</v>
      </c>
      <c r="K23">
        <f t="shared" si="4"/>
        <v>79999.2999351439</v>
      </c>
      <c r="L23">
        <f t="shared" si="5"/>
        <v>79999.999526599</v>
      </c>
      <c r="M23">
        <f t="shared" si="6"/>
        <v>79999.9999999994</v>
      </c>
      <c r="N23">
        <f t="shared" si="7"/>
        <v>80000.0000001051</v>
      </c>
    </row>
    <row r="24" spans="7:14">
      <c r="G24">
        <f t="shared" si="0"/>
        <v>21</v>
      </c>
      <c r="H24">
        <f t="shared" si="1"/>
        <v>35258.142217024</v>
      </c>
      <c r="I24">
        <f t="shared" si="2"/>
        <v>76316.5385969879</v>
      </c>
      <c r="J24">
        <f t="shared" si="3"/>
        <v>79938.3784977629</v>
      </c>
      <c r="K24">
        <f t="shared" si="4"/>
        <v>79999.7199703819</v>
      </c>
      <c r="L24">
        <f t="shared" si="5"/>
        <v>79999.9998816498</v>
      </c>
      <c r="M24">
        <f t="shared" si="6"/>
        <v>79999.9999999999</v>
      </c>
      <c r="N24">
        <f t="shared" si="7"/>
        <v>79999.999999979</v>
      </c>
    </row>
    <row r="25" spans="7:14">
      <c r="G25">
        <f t="shared" si="0"/>
        <v>22</v>
      </c>
      <c r="H25">
        <f t="shared" si="1"/>
        <v>38215.9824384603</v>
      </c>
      <c r="I25">
        <f t="shared" si="2"/>
        <v>77370.6974382385</v>
      </c>
      <c r="J25">
        <f t="shared" si="3"/>
        <v>79966.086814466</v>
      </c>
      <c r="K25">
        <f t="shared" si="4"/>
        <v>79999.8879875646</v>
      </c>
      <c r="L25">
        <f t="shared" si="5"/>
        <v>79999.9999704124</v>
      </c>
      <c r="M25">
        <f t="shared" si="6"/>
        <v>80000</v>
      </c>
      <c r="N25">
        <f t="shared" si="7"/>
        <v>80000.0000000042</v>
      </c>
    </row>
    <row r="26" spans="7:14">
      <c r="G26">
        <f t="shared" si="0"/>
        <v>23</v>
      </c>
      <c r="H26">
        <f t="shared" si="1"/>
        <v>41210.014840973</v>
      </c>
      <c r="I26">
        <f t="shared" si="2"/>
        <v>78133.5635869121</v>
      </c>
      <c r="J26">
        <f t="shared" si="3"/>
        <v>79981.3412786204</v>
      </c>
      <c r="K26">
        <f t="shared" si="4"/>
        <v>79999.9551949318</v>
      </c>
      <c r="L26">
        <f t="shared" si="5"/>
        <v>79999.9999926031</v>
      </c>
      <c r="M26">
        <f t="shared" si="6"/>
        <v>80000</v>
      </c>
      <c r="N26">
        <f t="shared" si="7"/>
        <v>79999.9999999992</v>
      </c>
    </row>
    <row r="27" spans="7:14">
      <c r="G27">
        <f t="shared" si="0"/>
        <v>24</v>
      </c>
      <c r="H27">
        <f t="shared" si="1"/>
        <v>44207.2695861316</v>
      </c>
      <c r="I27">
        <f t="shared" si="2"/>
        <v>78680.4310675231</v>
      </c>
      <c r="J27">
        <f t="shared" si="3"/>
        <v>79989.7357449094</v>
      </c>
      <c r="K27">
        <f t="shared" si="4"/>
        <v>79999.9820779576</v>
      </c>
      <c r="L27">
        <f t="shared" si="5"/>
        <v>79999.9999981508</v>
      </c>
      <c r="M27">
        <f t="shared" si="6"/>
        <v>80000</v>
      </c>
      <c r="N27">
        <f t="shared" si="7"/>
        <v>80000.0000000002</v>
      </c>
    </row>
    <row r="28" spans="7:14">
      <c r="G28">
        <f t="shared" si="0"/>
        <v>25</v>
      </c>
      <c r="H28">
        <f t="shared" si="1"/>
        <v>47174.0799910622</v>
      </c>
      <c r="I28">
        <f t="shared" si="2"/>
        <v>79069.7720141378</v>
      </c>
      <c r="J28">
        <f t="shared" si="3"/>
        <v>79994.3540670787</v>
      </c>
      <c r="K28">
        <f t="shared" si="4"/>
        <v>79999.9928311806</v>
      </c>
      <c r="L28">
        <f t="shared" si="5"/>
        <v>79999.9999995377</v>
      </c>
      <c r="M28">
        <f t="shared" si="6"/>
        <v>80000</v>
      </c>
      <c r="N28">
        <f t="shared" si="7"/>
        <v>80000</v>
      </c>
    </row>
    <row r="29" spans="7:14">
      <c r="G29">
        <f t="shared" si="0"/>
        <v>26</v>
      </c>
      <c r="H29">
        <f t="shared" si="1"/>
        <v>50077.5785715906</v>
      </c>
      <c r="I29">
        <f t="shared" si="2"/>
        <v>79345.5954445002</v>
      </c>
      <c r="J29">
        <f t="shared" si="3"/>
        <v>79996.8945575876</v>
      </c>
      <c r="K29">
        <f t="shared" si="4"/>
        <v>79999.9971324719</v>
      </c>
      <c r="L29">
        <f t="shared" si="5"/>
        <v>79999.9999998844</v>
      </c>
      <c r="M29">
        <f t="shared" si="6"/>
        <v>80000</v>
      </c>
      <c r="N29">
        <f t="shared" si="7"/>
        <v>80000</v>
      </c>
    </row>
    <row r="30" spans="7:14">
      <c r="G30">
        <f t="shared" si="0"/>
        <v>27</v>
      </c>
      <c r="H30">
        <f t="shared" si="1"/>
        <v>52887.1580905908</v>
      </c>
      <c r="I30">
        <f t="shared" si="2"/>
        <v>79540.3108911917</v>
      </c>
      <c r="J30">
        <f t="shared" si="3"/>
        <v>79998.291952427</v>
      </c>
      <c r="K30">
        <f t="shared" si="4"/>
        <v>79999.9988529887</v>
      </c>
      <c r="L30">
        <f t="shared" si="5"/>
        <v>79999.9999999711</v>
      </c>
      <c r="M30">
        <f t="shared" si="6"/>
        <v>80000</v>
      </c>
      <c r="N30">
        <f t="shared" si="7"/>
        <v>80000</v>
      </c>
    </row>
    <row r="31" spans="7:14">
      <c r="G31">
        <f t="shared" si="0"/>
        <v>28</v>
      </c>
      <c r="H31">
        <f t="shared" si="1"/>
        <v>55575.7602587435</v>
      </c>
      <c r="I31">
        <f t="shared" si="2"/>
        <v>79677.4251960463</v>
      </c>
      <c r="J31">
        <f t="shared" si="3"/>
        <v>79999.0605574243</v>
      </c>
      <c r="K31">
        <f t="shared" si="4"/>
        <v>79999.9995411955</v>
      </c>
      <c r="L31">
        <f t="shared" si="5"/>
        <v>79999.9999999928</v>
      </c>
      <c r="M31">
        <f t="shared" si="6"/>
        <v>80000</v>
      </c>
      <c r="N31">
        <f t="shared" si="7"/>
        <v>80000</v>
      </c>
    </row>
    <row r="32" spans="7:14">
      <c r="G32">
        <f t="shared" si="0"/>
        <v>29</v>
      </c>
      <c r="H32">
        <f t="shared" si="1"/>
        <v>58120.8771819225</v>
      </c>
      <c r="I32">
        <f t="shared" si="2"/>
        <v>79773.8074328419</v>
      </c>
      <c r="J32">
        <f t="shared" si="3"/>
        <v>79999.483301619</v>
      </c>
      <c r="K32">
        <f t="shared" si="4"/>
        <v>79999.9998164782</v>
      </c>
      <c r="L32">
        <f t="shared" si="5"/>
        <v>79999.9999999982</v>
      </c>
      <c r="M32">
        <f t="shared" si="6"/>
        <v>80000</v>
      </c>
      <c r="N32">
        <f t="shared" si="7"/>
        <v>80000</v>
      </c>
    </row>
    <row r="33" spans="7:14">
      <c r="G33">
        <f t="shared" si="0"/>
        <v>30</v>
      </c>
      <c r="H33">
        <f t="shared" si="1"/>
        <v>60505.1905759682</v>
      </c>
      <c r="I33">
        <f t="shared" si="2"/>
        <v>79841.4733414489</v>
      </c>
      <c r="J33">
        <f t="shared" si="3"/>
        <v>79999.7158143887</v>
      </c>
      <c r="K33">
        <f t="shared" si="4"/>
        <v>79999.9999265913</v>
      </c>
      <c r="L33">
        <f t="shared" si="5"/>
        <v>79999.9999999995</v>
      </c>
      <c r="M33">
        <f t="shared" si="6"/>
        <v>80000</v>
      </c>
      <c r="N33">
        <f t="shared" si="7"/>
        <v>80000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zoomScale="145" zoomScaleNormal="145" workbookViewId="0">
      <selection activeCell="I3" sqref="I3"/>
    </sheetView>
  </sheetViews>
  <sheetFormatPr defaultColWidth="9.14285714285714" defaultRowHeight="15"/>
  <cols>
    <col min="4" max="4" width="10.4285714285714" customWidth="1"/>
    <col min="5" max="5" width="11.6761904761905" customWidth="1"/>
    <col min="6" max="6" width="10.1428571428571" customWidth="1"/>
    <col min="7" max="7" width="9.06666666666667" customWidth="1"/>
    <col min="8" max="9" width="12.8571428571429"/>
    <col min="10" max="10" width="10.9428571428571" customWidth="1"/>
    <col min="11" max="11" width="13.4952380952381" customWidth="1"/>
  </cols>
  <sheetData>
    <row r="1" ht="18" spans="1:11">
      <c r="A1" t="s">
        <v>6</v>
      </c>
      <c r="B1" t="s">
        <v>7</v>
      </c>
      <c r="C1" s="1" t="s">
        <v>8</v>
      </c>
      <c r="D1" s="1" t="s">
        <v>9</v>
      </c>
      <c r="E1" t="s">
        <v>12</v>
      </c>
    </row>
    <row r="2" spans="1:11">
      <c r="A2">
        <v>0.45</v>
      </c>
      <c r="B2" s="2">
        <v>80000</v>
      </c>
      <c r="C2" s="2">
        <v>500</v>
      </c>
      <c r="D2">
        <v>19</v>
      </c>
      <c r="E2" t="s">
        <v>22</v>
      </c>
      <c r="G2" t="s">
        <v>0</v>
      </c>
      <c r="H2" t="s">
        <v>34</v>
      </c>
      <c r="I2" t="s">
        <v>35</v>
      </c>
      <c r="J2" t="s">
        <v>36</v>
      </c>
      <c r="K2" t="s">
        <v>37</v>
      </c>
    </row>
    <row r="3" spans="1:11">
      <c r="A3">
        <v>0.45</v>
      </c>
      <c r="B3" s="2">
        <v>80000</v>
      </c>
      <c r="C3" s="2">
        <v>3000</v>
      </c>
      <c r="D3">
        <v>14</v>
      </c>
      <c r="E3" t="s">
        <v>17</v>
      </c>
      <c r="G3">
        <v>0</v>
      </c>
      <c r="H3">
        <v>500</v>
      </c>
      <c r="I3">
        <v>3000</v>
      </c>
      <c r="J3">
        <v>10000</v>
      </c>
      <c r="K3">
        <v>100000</v>
      </c>
    </row>
    <row r="4" spans="1:11">
      <c r="A4">
        <v>0.45</v>
      </c>
      <c r="B4" s="2">
        <v>80000</v>
      </c>
      <c r="C4" s="2">
        <v>10000</v>
      </c>
      <c r="D4">
        <v>11</v>
      </c>
      <c r="E4" t="s">
        <v>23</v>
      </c>
      <c r="G4">
        <f>G3+1</f>
        <v>1</v>
      </c>
      <c r="H4">
        <f>H3+0.45*H3*(1-H3/80000)</f>
        <v>723.59375</v>
      </c>
      <c r="I4">
        <f>I3+0.45*I3*(1-I3/80000)</f>
        <v>4299.375</v>
      </c>
      <c r="J4">
        <f>J3+0.45*J3*(1-J3/80000)</f>
        <v>13937.5</v>
      </c>
      <c r="K4">
        <f>K3+0.45*K3*(1-K3/80000)</f>
        <v>88750</v>
      </c>
    </row>
    <row r="5" spans="1:11">
      <c r="A5">
        <v>0.45</v>
      </c>
      <c r="B5" s="2">
        <v>80000</v>
      </c>
      <c r="C5" s="2">
        <v>100000</v>
      </c>
      <c r="D5" s="3" t="s">
        <v>24</v>
      </c>
      <c r="E5" t="s">
        <v>18</v>
      </c>
      <c r="G5">
        <f t="shared" ref="G5:G33" si="0">G4+1</f>
        <v>2</v>
      </c>
      <c r="H5">
        <f t="shared" ref="H5:H33" si="1">H4+0.45*H4*(1-H4/80000)</f>
        <v>1046.26575547791</v>
      </c>
      <c r="I5">
        <f t="shared" ref="I5:I33" si="2">I4+0.45*I4*(1-I4/80000)</f>
        <v>6130.11773217773</v>
      </c>
      <c r="J5">
        <f t="shared" ref="J5:J33" si="3">J4+0.45*J4*(1-J4/80000)</f>
        <v>19116.6967773437</v>
      </c>
      <c r="K5">
        <f t="shared" ref="K5:K33" si="4">K4+0.45*K4*(1-K4/80000)</f>
        <v>84381.8359375</v>
      </c>
    </row>
    <row r="6" spans="1:11">
      <c r="G6">
        <f t="shared" si="0"/>
        <v>3</v>
      </c>
      <c r="H6">
        <f t="shared" si="1"/>
        <v>1510.92781526811</v>
      </c>
      <c r="I6">
        <f t="shared" si="2"/>
        <v>8677.29252997444</v>
      </c>
      <c r="J6">
        <f t="shared" si="3"/>
        <v>25663.5647889658</v>
      </c>
      <c r="K6">
        <f t="shared" si="4"/>
        <v>82302.0070308447</v>
      </c>
    </row>
    <row r="7" spans="1:11">
      <c r="G7">
        <f t="shared" si="0"/>
        <v>4</v>
      </c>
      <c r="H7">
        <f t="shared" si="1"/>
        <v>2178.00400353465</v>
      </c>
      <c r="I7">
        <f t="shared" si="2"/>
        <v>12158.5375116775</v>
      </c>
      <c r="J7">
        <f t="shared" si="3"/>
        <v>33507.4395570648</v>
      </c>
      <c r="K7">
        <f t="shared" si="4"/>
        <v>81236.295662383</v>
      </c>
    </row>
    <row r="8" spans="1:11">
      <c r="G8">
        <f t="shared" si="0"/>
        <v>5</v>
      </c>
      <c r="H8">
        <f t="shared" si="1"/>
        <v>3131.42248452855</v>
      </c>
      <c r="I8">
        <f t="shared" si="2"/>
        <v>16798.3354483037</v>
      </c>
      <c r="J8">
        <f t="shared" si="3"/>
        <v>42270.3270133483</v>
      </c>
      <c r="K8">
        <f t="shared" si="4"/>
        <v>80671.3652126335</v>
      </c>
    </row>
    <row r="9" spans="1:11">
      <c r="G9">
        <f t="shared" si="0"/>
        <v>6</v>
      </c>
      <c r="H9">
        <f t="shared" si="1"/>
        <v>4485.40493944796</v>
      </c>
      <c r="I9">
        <f t="shared" si="2"/>
        <v>22770.3009847256</v>
      </c>
      <c r="J9">
        <f t="shared" si="3"/>
        <v>51241.3335991434</v>
      </c>
      <c r="K9">
        <f t="shared" si="4"/>
        <v>80366.7155036743</v>
      </c>
    </row>
    <row r="10" spans="1:11">
      <c r="G10">
        <f t="shared" si="0"/>
        <v>7</v>
      </c>
      <c r="H10">
        <f t="shared" si="1"/>
        <v>6390.66858892616</v>
      </c>
      <c r="I10">
        <f t="shared" si="2"/>
        <v>30100.4492638428</v>
      </c>
      <c r="J10">
        <f t="shared" si="3"/>
        <v>59530.5159555277</v>
      </c>
      <c r="K10">
        <f t="shared" si="4"/>
        <v>80200.9370755548</v>
      </c>
    </row>
    <row r="11" spans="1:11">
      <c r="G11">
        <f t="shared" si="0"/>
        <v>8</v>
      </c>
      <c r="H11">
        <f t="shared" si="1"/>
        <v>9036.74082574206</v>
      </c>
      <c r="I11">
        <f t="shared" si="2"/>
        <v>38549.1930494679</v>
      </c>
      <c r="J11">
        <f t="shared" si="3"/>
        <v>66384.9100296514</v>
      </c>
      <c r="K11">
        <f t="shared" si="4"/>
        <v>80110.2882781958</v>
      </c>
    </row>
    <row r="12" spans="1:11">
      <c r="G12">
        <f t="shared" si="0"/>
        <v>9</v>
      </c>
      <c r="H12">
        <f t="shared" si="1"/>
        <v>12643.9215955981</v>
      </c>
      <c r="I12">
        <f t="shared" si="2"/>
        <v>47537.3533199245</v>
      </c>
      <c r="J12">
        <f t="shared" si="3"/>
        <v>71468.9904699919</v>
      </c>
      <c r="K12">
        <f t="shared" si="4"/>
        <v>80060.5901332959</v>
      </c>
    </row>
    <row r="13" spans="1:11">
      <c r="G13">
        <f t="shared" si="0"/>
        <v>10</v>
      </c>
      <c r="H13">
        <f t="shared" si="1"/>
        <v>17434.4245762168</v>
      </c>
      <c r="I13">
        <f t="shared" si="2"/>
        <v>56217.7875351593</v>
      </c>
      <c r="J13">
        <f t="shared" si="3"/>
        <v>74898.5678132394</v>
      </c>
      <c r="K13">
        <f t="shared" si="4"/>
        <v>80033.3039230138</v>
      </c>
    </row>
    <row r="14" spans="1:11">
      <c r="G14">
        <f t="shared" si="0"/>
        <v>11</v>
      </c>
      <c r="H14">
        <f t="shared" si="1"/>
        <v>23570.1453588055</v>
      </c>
      <c r="I14">
        <f t="shared" si="2"/>
        <v>63738.3189771467</v>
      </c>
      <c r="J14">
        <f t="shared" si="3"/>
        <v>77047.8238640285</v>
      </c>
      <c r="K14">
        <f t="shared" si="4"/>
        <v>80018.3109186816</v>
      </c>
    </row>
    <row r="15" spans="1:11">
      <c r="G15">
        <f t="shared" si="0"/>
        <v>12</v>
      </c>
      <c r="H15">
        <f t="shared" si="1"/>
        <v>31051.7321639448</v>
      </c>
      <c r="I15">
        <f t="shared" si="2"/>
        <v>69568.5876704299</v>
      </c>
      <c r="J15">
        <f t="shared" si="3"/>
        <v>78327.2793155656</v>
      </c>
      <c r="K15">
        <f t="shared" si="4"/>
        <v>80010.0691192701</v>
      </c>
    </row>
    <row r="16" spans="1:11">
      <c r="G16">
        <f t="shared" si="0"/>
        <v>13</v>
      </c>
      <c r="H16">
        <f t="shared" si="1"/>
        <v>39601.3299918248</v>
      </c>
      <c r="I16">
        <f t="shared" si="2"/>
        <v>73650.6424257955</v>
      </c>
      <c r="J16">
        <f t="shared" si="3"/>
        <v>79064.2649045653</v>
      </c>
      <c r="K16">
        <f t="shared" si="4"/>
        <v>80005.5374452957</v>
      </c>
    </row>
    <row r="17" spans="7:11">
      <c r="G17">
        <f t="shared" si="0"/>
        <v>14</v>
      </c>
      <c r="H17">
        <f t="shared" si="1"/>
        <v>48600.4359668381</v>
      </c>
      <c r="I17">
        <f t="shared" si="2"/>
        <v>76281.0851626588</v>
      </c>
      <c r="J17">
        <f t="shared" si="3"/>
        <v>79480.4204465613</v>
      </c>
      <c r="K17">
        <f t="shared" si="4"/>
        <v>80003.0454224316</v>
      </c>
    </row>
    <row r="18" spans="7:11">
      <c r="G18">
        <f t="shared" si="0"/>
        <v>15</v>
      </c>
      <c r="H18">
        <f t="shared" si="1"/>
        <v>57184.3687859774</v>
      </c>
      <c r="I18">
        <f t="shared" si="2"/>
        <v>77876.8012468957</v>
      </c>
      <c r="J18">
        <f t="shared" si="3"/>
        <v>79712.7127042267</v>
      </c>
      <c r="K18">
        <f t="shared" si="4"/>
        <v>80001.6749301678</v>
      </c>
    </row>
    <row r="19" spans="7:11">
      <c r="G19">
        <f t="shared" si="0"/>
        <v>16</v>
      </c>
      <c r="H19">
        <f t="shared" si="1"/>
        <v>64523.2920515072</v>
      </c>
      <c r="I19">
        <f t="shared" si="2"/>
        <v>78806.883337976</v>
      </c>
      <c r="J19">
        <f t="shared" si="3"/>
        <v>79841.5277336292</v>
      </c>
      <c r="K19">
        <f t="shared" si="4"/>
        <v>80000.921195812</v>
      </c>
    </row>
    <row r="20" spans="7:11">
      <c r="G20">
        <f t="shared" si="0"/>
        <v>17</v>
      </c>
      <c r="H20">
        <f t="shared" si="1"/>
        <v>70140.4628781374</v>
      </c>
      <c r="I20">
        <f t="shared" si="2"/>
        <v>79335.778494435</v>
      </c>
      <c r="J20">
        <f t="shared" si="3"/>
        <v>79912.698990288</v>
      </c>
      <c r="K20">
        <f t="shared" si="4"/>
        <v>80000.5066529232</v>
      </c>
    </row>
    <row r="21" spans="7:11">
      <c r="G21">
        <f t="shared" si="0"/>
        <v>18</v>
      </c>
      <c r="H21">
        <f t="shared" si="1"/>
        <v>74030.4456765278</v>
      </c>
      <c r="I21">
        <f t="shared" si="2"/>
        <v>79632.1964770167</v>
      </c>
      <c r="J21">
        <f t="shared" si="3"/>
        <v>79951.9415739105</v>
      </c>
      <c r="K21">
        <f t="shared" si="4"/>
        <v>80000.2786576638</v>
      </c>
    </row>
    <row r="22" spans="7:11">
      <c r="G22">
        <f t="shared" si="0"/>
        <v>19</v>
      </c>
      <c r="H22">
        <f t="shared" si="1"/>
        <v>76516.2949912228</v>
      </c>
      <c r="I22">
        <f t="shared" si="2"/>
        <v>79796.9471155569</v>
      </c>
      <c r="J22">
        <f t="shared" si="3"/>
        <v>79973.5548740815</v>
      </c>
      <c r="K22">
        <f t="shared" si="4"/>
        <v>80000.1532612783</v>
      </c>
    </row>
    <row r="23" spans="7:11">
      <c r="G23">
        <f t="shared" si="0"/>
        <v>20</v>
      </c>
      <c r="H23">
        <f t="shared" si="1"/>
        <v>78015.696116864</v>
      </c>
      <c r="I23">
        <f t="shared" si="2"/>
        <v>79888.0889921407</v>
      </c>
      <c r="J23">
        <f t="shared" si="3"/>
        <v>79985.451246931</v>
      </c>
      <c r="K23">
        <f t="shared" si="4"/>
        <v>80000.084293571</v>
      </c>
    </row>
    <row r="24" spans="7:11">
      <c r="G24">
        <f t="shared" si="0"/>
        <v>21</v>
      </c>
      <c r="H24">
        <f t="shared" si="1"/>
        <v>78886.4846410842</v>
      </c>
      <c r="I24">
        <f t="shared" si="2"/>
        <v>79938.3784977629</v>
      </c>
      <c r="J24">
        <f t="shared" si="3"/>
        <v>79991.9969951896</v>
      </c>
      <c r="K24">
        <f t="shared" si="4"/>
        <v>80000.0463614241</v>
      </c>
    </row>
    <row r="25" spans="7:11">
      <c r="G25">
        <f t="shared" si="0"/>
        <v>22</v>
      </c>
      <c r="H25">
        <f t="shared" si="1"/>
        <v>79380.5920225395</v>
      </c>
      <c r="I25">
        <f t="shared" si="2"/>
        <v>79966.086814466</v>
      </c>
      <c r="J25">
        <f t="shared" si="3"/>
        <v>79995.5979870838</v>
      </c>
      <c r="K25">
        <f t="shared" si="4"/>
        <v>80000.0254987711</v>
      </c>
    </row>
    <row r="26" spans="7:11">
      <c r="G26">
        <f t="shared" si="0"/>
        <v>23</v>
      </c>
      <c r="H26">
        <f t="shared" si="1"/>
        <v>79657.1674897824</v>
      </c>
      <c r="I26">
        <f t="shared" si="2"/>
        <v>79981.3412786204</v>
      </c>
      <c r="J26">
        <f t="shared" si="3"/>
        <v>79997.5787838964</v>
      </c>
      <c r="K26">
        <f t="shared" si="4"/>
        <v>80000.0140243205</v>
      </c>
    </row>
    <row r="27" spans="7:11">
      <c r="G27">
        <f t="shared" si="0"/>
        <v>24</v>
      </c>
      <c r="H27">
        <f t="shared" si="1"/>
        <v>79810.7809898987</v>
      </c>
      <c r="I27">
        <f t="shared" si="2"/>
        <v>79989.7357449094</v>
      </c>
      <c r="J27">
        <f t="shared" si="3"/>
        <v>79998.6682981677</v>
      </c>
      <c r="K27">
        <f t="shared" si="4"/>
        <v>80000.0077133751</v>
      </c>
    </row>
    <row r="28" spans="7:11">
      <c r="G28">
        <f t="shared" si="0"/>
        <v>25</v>
      </c>
      <c r="H28">
        <f t="shared" si="1"/>
        <v>79895.7281478793</v>
      </c>
      <c r="I28">
        <f t="shared" si="2"/>
        <v>79994.3540670787</v>
      </c>
      <c r="J28">
        <f t="shared" si="3"/>
        <v>79999.2675540167</v>
      </c>
      <c r="K28">
        <f t="shared" si="4"/>
        <v>80000.004242356</v>
      </c>
    </row>
    <row r="29" spans="7:11">
      <c r="G29">
        <f t="shared" si="0"/>
        <v>26</v>
      </c>
      <c r="H29">
        <f t="shared" si="1"/>
        <v>79942.5893228509</v>
      </c>
      <c r="I29">
        <f t="shared" si="2"/>
        <v>79996.8945575876</v>
      </c>
      <c r="J29">
        <f t="shared" si="3"/>
        <v>79999.5971516915</v>
      </c>
      <c r="K29">
        <f t="shared" si="4"/>
        <v>80000.0023332957</v>
      </c>
    </row>
    <row r="30" spans="7:11">
      <c r="G30">
        <f t="shared" si="0"/>
        <v>27</v>
      </c>
      <c r="H30">
        <f t="shared" si="1"/>
        <v>79968.4055876476</v>
      </c>
      <c r="I30">
        <f t="shared" si="2"/>
        <v>79998.291952427</v>
      </c>
      <c r="J30">
        <f t="shared" si="3"/>
        <v>79999.7784325175</v>
      </c>
      <c r="K30">
        <f t="shared" si="4"/>
        <v>80000.0012833126</v>
      </c>
    </row>
    <row r="31" spans="7:11">
      <c r="G31">
        <f t="shared" si="0"/>
        <v>28</v>
      </c>
      <c r="H31">
        <f t="shared" si="1"/>
        <v>79982.6174582924</v>
      </c>
      <c r="I31">
        <f t="shared" si="2"/>
        <v>79999.0605574243</v>
      </c>
      <c r="J31">
        <f t="shared" si="3"/>
        <v>79999.8781376085</v>
      </c>
      <c r="K31">
        <f t="shared" si="4"/>
        <v>80000.0007058219</v>
      </c>
    </row>
    <row r="32" spans="7:11">
      <c r="G32">
        <f t="shared" si="0"/>
        <v>29</v>
      </c>
      <c r="H32">
        <f t="shared" si="1"/>
        <v>79990.4379024516</v>
      </c>
      <c r="I32">
        <f t="shared" si="2"/>
        <v>79999.483301619</v>
      </c>
      <c r="J32">
        <f t="shared" si="3"/>
        <v>79999.9329756011</v>
      </c>
      <c r="K32">
        <f t="shared" si="4"/>
        <v>80000.0003882021</v>
      </c>
    </row>
    <row r="33" spans="7:11">
      <c r="G33">
        <f t="shared" si="0"/>
        <v>30</v>
      </c>
      <c r="H33">
        <f t="shared" si="1"/>
        <v>79994.7403320338</v>
      </c>
      <c r="I33">
        <f t="shared" si="2"/>
        <v>79999.7158143887</v>
      </c>
      <c r="J33">
        <f t="shared" si="3"/>
        <v>79999.9631365553</v>
      </c>
      <c r="K33">
        <f t="shared" si="4"/>
        <v>80000.0002135111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zoomScale="145" zoomScaleNormal="145" topLeftCell="B1" workbookViewId="0">
      <selection activeCell="H2" sqref="H2:J17"/>
    </sheetView>
  </sheetViews>
  <sheetFormatPr defaultColWidth="9.14285714285714" defaultRowHeight="15"/>
  <cols>
    <col min="4" max="4" width="10.5238095238095" customWidth="1"/>
    <col min="5" max="5" width="13.1238095238095" customWidth="1"/>
    <col min="8" max="9" width="12.8571428571429"/>
    <col min="10" max="10" width="10.447619047619" customWidth="1"/>
  </cols>
  <sheetData>
    <row r="1" ht="18" spans="1:10">
      <c r="A1" t="s">
        <v>6</v>
      </c>
      <c r="B1" t="s">
        <v>7</v>
      </c>
      <c r="C1" s="1" t="s">
        <v>8</v>
      </c>
      <c r="D1" s="1" t="s">
        <v>9</v>
      </c>
      <c r="E1" t="s">
        <v>12</v>
      </c>
    </row>
    <row r="2" spans="1:10">
      <c r="A2">
        <v>0.45</v>
      </c>
      <c r="B2" s="2">
        <v>60000</v>
      </c>
      <c r="C2" s="2">
        <v>3000</v>
      </c>
      <c r="D2">
        <v>14</v>
      </c>
      <c r="E2" t="s">
        <v>25</v>
      </c>
      <c r="G2" t="s">
        <v>0</v>
      </c>
      <c r="H2" t="s">
        <v>38</v>
      </c>
      <c r="I2" t="s">
        <v>39</v>
      </c>
      <c r="J2" t="s">
        <v>40</v>
      </c>
    </row>
    <row r="3" spans="1:10">
      <c r="A3">
        <v>0.45</v>
      </c>
      <c r="B3" s="2">
        <v>80000</v>
      </c>
      <c r="C3" s="2">
        <v>3000</v>
      </c>
      <c r="D3">
        <v>14</v>
      </c>
      <c r="E3" t="s">
        <v>17</v>
      </c>
      <c r="G3">
        <v>0</v>
      </c>
      <c r="H3">
        <v>3000</v>
      </c>
      <c r="I3">
        <v>3000</v>
      </c>
      <c r="J3">
        <v>3000</v>
      </c>
    </row>
    <row r="4" spans="1:10">
      <c r="A4">
        <v>0.45</v>
      </c>
      <c r="B4" s="2">
        <v>120000</v>
      </c>
      <c r="C4" s="2">
        <v>3000</v>
      </c>
      <c r="D4">
        <v>15</v>
      </c>
      <c r="E4" t="s">
        <v>26</v>
      </c>
      <c r="G4">
        <f>G3+1</f>
        <v>1</v>
      </c>
      <c r="H4">
        <f>H3+0.45*H3*(1-H3/60000)</f>
        <v>4282.5</v>
      </c>
      <c r="I4">
        <f>I3+0.45*I3*(1-I3/80000)</f>
        <v>4299.375</v>
      </c>
      <c r="J4">
        <f>J3+0.45*J3*(1-J3/120000)</f>
        <v>4316.25</v>
      </c>
    </row>
    <row r="5" spans="1:10">
      <c r="G5">
        <f t="shared" ref="G5:G34" si="0">G4+1</f>
        <v>2</v>
      </c>
      <c r="H5">
        <f t="shared" ref="H5:H33" si="1">H4+0.45*H4*(1-H4/60000)</f>
        <v>6072.076453125</v>
      </c>
      <c r="I5">
        <f t="shared" ref="I5:I33" si="2">I4+0.45*I4*(1-I4/80000)</f>
        <v>6130.11773217773</v>
      </c>
      <c r="J5">
        <f t="shared" ref="J5:J33" si="3">J4+0.45*J4*(1-J4/120000)</f>
        <v>6188.69994726563</v>
      </c>
    </row>
    <row r="6" spans="1:10">
      <c r="G6">
        <f t="shared" si="0"/>
        <v>3</v>
      </c>
      <c r="H6">
        <f t="shared" si="1"/>
        <v>8527.98501363679</v>
      </c>
      <c r="I6">
        <f t="shared" si="2"/>
        <v>8677.29252997444</v>
      </c>
      <c r="J6">
        <f t="shared" si="3"/>
        <v>8829.98989714534</v>
      </c>
    </row>
    <row r="7" spans="1:10">
      <c r="G7">
        <f t="shared" si="0"/>
        <v>4</v>
      </c>
      <c r="H7">
        <f t="shared" si="1"/>
        <v>11820.1293068272</v>
      </c>
      <c r="I7">
        <f t="shared" si="2"/>
        <v>12158.5375116775</v>
      </c>
      <c r="J7">
        <f t="shared" si="3"/>
        <v>12511.1026449219</v>
      </c>
    </row>
    <row r="8" spans="1:10">
      <c r="G8">
        <f t="shared" si="0"/>
        <v>5</v>
      </c>
      <c r="H8">
        <f t="shared" si="1"/>
        <v>16091.3215686736</v>
      </c>
      <c r="I8">
        <f t="shared" si="2"/>
        <v>16798.3354483037</v>
      </c>
      <c r="J8">
        <f t="shared" si="3"/>
        <v>17554.1199999176</v>
      </c>
    </row>
    <row r="9" spans="1:10">
      <c r="G9">
        <f t="shared" si="0"/>
        <v>6</v>
      </c>
      <c r="H9">
        <f t="shared" si="1"/>
        <v>21390.4365508783</v>
      </c>
      <c r="I9">
        <f t="shared" si="2"/>
        <v>22770.3009847256</v>
      </c>
      <c r="J9">
        <f t="shared" si="3"/>
        <v>24297.9222662374</v>
      </c>
    </row>
    <row r="10" spans="1:10">
      <c r="G10">
        <f t="shared" si="0"/>
        <v>7</v>
      </c>
      <c r="H10">
        <f t="shared" si="1"/>
        <v>27584.5021799949</v>
      </c>
      <c r="I10">
        <f t="shared" si="2"/>
        <v>30100.4492638428</v>
      </c>
      <c r="J10">
        <f t="shared" si="3"/>
        <v>33018.0284368338</v>
      </c>
    </row>
    <row r="11" spans="1:10">
      <c r="G11">
        <f t="shared" si="0"/>
        <v>8</v>
      </c>
      <c r="H11">
        <f t="shared" si="1"/>
        <v>34290.7424571065</v>
      </c>
      <c r="I11">
        <f t="shared" si="2"/>
        <v>38549.1930494679</v>
      </c>
      <c r="J11">
        <f t="shared" si="3"/>
        <v>43787.9279764506</v>
      </c>
    </row>
    <row r="12" spans="1:10">
      <c r="G12">
        <f t="shared" si="0"/>
        <v>9</v>
      </c>
      <c r="H12">
        <f t="shared" si="1"/>
        <v>40902.6639258574</v>
      </c>
      <c r="I12">
        <f t="shared" si="2"/>
        <v>47537.3533199245</v>
      </c>
      <c r="J12">
        <f t="shared" si="3"/>
        <v>56302.3106790878</v>
      </c>
    </row>
    <row r="13" spans="1:10">
      <c r="G13">
        <f t="shared" si="0"/>
        <v>10</v>
      </c>
      <c r="H13">
        <f t="shared" si="1"/>
        <v>46761.153320756</v>
      </c>
      <c r="I13">
        <f t="shared" si="2"/>
        <v>56217.7875351593</v>
      </c>
      <c r="J13">
        <f t="shared" si="3"/>
        <v>69751.0372804104</v>
      </c>
    </row>
    <row r="14" spans="1:10">
      <c r="G14">
        <f t="shared" si="0"/>
        <v>11</v>
      </c>
      <c r="H14">
        <f t="shared" si="1"/>
        <v>51404.1313659418</v>
      </c>
      <c r="I14">
        <f t="shared" si="2"/>
        <v>63738.3189771467</v>
      </c>
      <c r="J14">
        <f t="shared" si="3"/>
        <v>82894.4770502455</v>
      </c>
    </row>
    <row r="15" spans="1:10">
      <c r="G15">
        <f t="shared" si="0"/>
        <v>12</v>
      </c>
      <c r="H15">
        <f t="shared" si="1"/>
        <v>54718.1050694631</v>
      </c>
      <c r="I15">
        <f t="shared" si="2"/>
        <v>69568.5876704299</v>
      </c>
      <c r="J15">
        <f t="shared" si="3"/>
        <v>94428.8880024797</v>
      </c>
    </row>
    <row r="16" spans="1:10">
      <c r="G16">
        <f t="shared" si="0"/>
        <v>13</v>
      </c>
      <c r="H16">
        <f t="shared" si="1"/>
        <v>56885.7196827755</v>
      </c>
      <c r="I16">
        <f t="shared" si="2"/>
        <v>73650.6424257955</v>
      </c>
      <c r="J16">
        <f t="shared" si="3"/>
        <v>103483.831768402</v>
      </c>
    </row>
    <row r="17" spans="7:10">
      <c r="G17">
        <f t="shared" si="0"/>
        <v>14</v>
      </c>
      <c r="H17">
        <f t="shared" si="1"/>
        <v>58214.4052613196</v>
      </c>
      <c r="I17">
        <f t="shared" si="2"/>
        <v>76281.0851626588</v>
      </c>
      <c r="J17">
        <f t="shared" si="3"/>
        <v>109893.168173667</v>
      </c>
    </row>
    <row r="18" spans="7:10">
      <c r="G18">
        <f t="shared" si="0"/>
        <v>15</v>
      </c>
      <c r="H18">
        <f t="shared" si="1"/>
        <v>58994.0102794448</v>
      </c>
      <c r="I18">
        <f t="shared" si="2"/>
        <v>77876.8012468957</v>
      </c>
      <c r="J18">
        <f t="shared" si="3"/>
        <v>114058.187309645</v>
      </c>
    </row>
    <row r="19" spans="7:10">
      <c r="G19">
        <f t="shared" si="0"/>
        <v>16</v>
      </c>
      <c r="H19">
        <f t="shared" si="1"/>
        <v>59439.1155388106</v>
      </c>
      <c r="I19">
        <f t="shared" si="2"/>
        <v>78806.883337976</v>
      </c>
      <c r="J19">
        <f t="shared" si="3"/>
        <v>116599.608752628</v>
      </c>
    </row>
    <row r="20" spans="7:10">
      <c r="G20">
        <f t="shared" si="0"/>
        <v>17</v>
      </c>
      <c r="H20">
        <f t="shared" si="1"/>
        <v>59689.1541110048</v>
      </c>
      <c r="I20">
        <f t="shared" si="2"/>
        <v>79335.778494435</v>
      </c>
      <c r="J20">
        <f t="shared" si="3"/>
        <v>118086.424836563</v>
      </c>
    </row>
    <row r="21" spans="7:10">
      <c r="G21">
        <f t="shared" si="0"/>
        <v>18</v>
      </c>
      <c r="H21">
        <f t="shared" si="1"/>
        <v>59828.3100723024</v>
      </c>
      <c r="I21">
        <f t="shared" si="2"/>
        <v>79632.1964770167</v>
      </c>
      <c r="J21">
        <f t="shared" si="3"/>
        <v>118933.802022962</v>
      </c>
    </row>
    <row r="22" spans="7:10">
      <c r="G22">
        <f t="shared" si="0"/>
        <v>19</v>
      </c>
      <c r="H22">
        <f t="shared" si="1"/>
        <v>59905.3494590318</v>
      </c>
      <c r="I22">
        <f t="shared" si="2"/>
        <v>79796.9471155569</v>
      </c>
      <c r="J22">
        <f t="shared" si="3"/>
        <v>119409.328194656</v>
      </c>
    </row>
    <row r="23" spans="7:10">
      <c r="G23">
        <f t="shared" si="0"/>
        <v>20</v>
      </c>
      <c r="H23">
        <f t="shared" si="1"/>
        <v>59947.8750120307</v>
      </c>
      <c r="I23">
        <f t="shared" si="2"/>
        <v>79888.0889921407</v>
      </c>
      <c r="J23">
        <f t="shared" si="3"/>
        <v>119673.822157629</v>
      </c>
    </row>
    <row r="24" spans="7:10">
      <c r="G24">
        <f t="shared" si="0"/>
        <v>21</v>
      </c>
      <c r="H24">
        <f t="shared" si="1"/>
        <v>59971.3108790091</v>
      </c>
      <c r="I24">
        <f t="shared" si="2"/>
        <v>79938.3784977629</v>
      </c>
      <c r="J24">
        <f t="shared" si="3"/>
        <v>119820.203216753</v>
      </c>
    </row>
    <row r="25" spans="7:10">
      <c r="G25">
        <f t="shared" si="0"/>
        <v>22</v>
      </c>
      <c r="H25">
        <f t="shared" si="1"/>
        <v>59984.2148104625</v>
      </c>
      <c r="I25">
        <f t="shared" si="2"/>
        <v>79966.086814466</v>
      </c>
      <c r="J25">
        <f t="shared" si="3"/>
        <v>119900.990543402</v>
      </c>
    </row>
    <row r="26" spans="7:10">
      <c r="G26">
        <f t="shared" si="0"/>
        <v>23</v>
      </c>
      <c r="H26">
        <f t="shared" si="1"/>
        <v>59991.3162769628</v>
      </c>
      <c r="I26">
        <f t="shared" si="2"/>
        <v>79981.3412786204</v>
      </c>
      <c r="J26">
        <f t="shared" si="3"/>
        <v>119945.508038099</v>
      </c>
    </row>
    <row r="27" spans="7:10">
      <c r="G27">
        <f t="shared" si="0"/>
        <v>24</v>
      </c>
      <c r="H27">
        <f t="shared" si="1"/>
        <v>59995.2233867767</v>
      </c>
      <c r="I27">
        <f t="shared" si="2"/>
        <v>79989.7357449094</v>
      </c>
      <c r="J27">
        <f t="shared" si="3"/>
        <v>119970.018285802</v>
      </c>
    </row>
    <row r="28" spans="7:10">
      <c r="G28">
        <f t="shared" si="0"/>
        <v>25</v>
      </c>
      <c r="H28">
        <f t="shared" si="1"/>
        <v>59997.3726916069</v>
      </c>
      <c r="I28">
        <f t="shared" si="2"/>
        <v>79994.3540670787</v>
      </c>
      <c r="J28">
        <f t="shared" si="3"/>
        <v>119983.506686304</v>
      </c>
    </row>
    <row r="29" spans="7:10">
      <c r="G29">
        <f t="shared" si="0"/>
        <v>26</v>
      </c>
      <c r="H29">
        <f t="shared" si="1"/>
        <v>59998.5549286132</v>
      </c>
      <c r="I29">
        <f t="shared" si="2"/>
        <v>79996.8945575876</v>
      </c>
      <c r="J29">
        <f t="shared" si="3"/>
        <v>119990.927657357</v>
      </c>
    </row>
    <row r="30" spans="7:10">
      <c r="G30">
        <f t="shared" si="0"/>
        <v>27</v>
      </c>
      <c r="H30">
        <f t="shared" si="1"/>
        <v>59999.2051950755</v>
      </c>
      <c r="I30">
        <f t="shared" si="2"/>
        <v>79998.291952427</v>
      </c>
      <c r="J30">
        <f t="shared" si="3"/>
        <v>119995.009902894</v>
      </c>
    </row>
    <row r="31" spans="7:10">
      <c r="G31">
        <f t="shared" si="0"/>
        <v>28</v>
      </c>
      <c r="H31">
        <f t="shared" si="1"/>
        <v>59999.5628525537</v>
      </c>
      <c r="I31">
        <f t="shared" si="2"/>
        <v>79999.0605574243</v>
      </c>
      <c r="J31">
        <f t="shared" si="3"/>
        <v>119997.255353213</v>
      </c>
    </row>
    <row r="32" spans="7:10">
      <c r="G32">
        <f t="shared" si="0"/>
        <v>29</v>
      </c>
      <c r="H32">
        <f t="shared" si="1"/>
        <v>59999.7595674713</v>
      </c>
      <c r="I32">
        <f t="shared" si="2"/>
        <v>79999.483301619</v>
      </c>
      <c r="J32">
        <f t="shared" si="3"/>
        <v>119998.490416018</v>
      </c>
    </row>
    <row r="33" spans="7:10">
      <c r="G33">
        <f t="shared" si="0"/>
        <v>30</v>
      </c>
      <c r="H33">
        <f t="shared" si="1"/>
        <v>59999.8677616756</v>
      </c>
      <c r="I33">
        <f t="shared" si="2"/>
        <v>79999.7158143887</v>
      </c>
      <c r="J33">
        <f t="shared" si="3"/>
        <v>119999.169720264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Базовый расчёт</vt:lpstr>
      <vt:lpstr>Базовый расчёт (вариант 1)</vt:lpstr>
      <vt:lpstr>Эксперименты</vt:lpstr>
      <vt:lpstr>Серия 1</vt:lpstr>
      <vt:lpstr>Серия 2</vt:lpstr>
      <vt:lpstr>Серия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mira3eee</dc:creator>
  <cp:lastModifiedBy>RAYSKIY_KOTIK</cp:lastModifiedBy>
  <dcterms:created xsi:type="dcterms:W3CDTF">2026-09-28T14:31:00Z</dcterms:created>
  <dcterms:modified xsi:type="dcterms:W3CDTF">2026-10-28T10:22:14Z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7D379C431FA74FDF9EF6FB5A84CE319F_13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1</vt:i4>
  </property>
</Properties>
</file>